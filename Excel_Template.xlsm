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oc\教室\2023_3EV\3_研究室配属\Forms_and_Excel2\"/>
    </mc:Choice>
  </mc:AlternateContent>
  <xr:revisionPtr revIDLastSave="0" documentId="13_ncr:1_{76B185DE-3A3F-45E5-8DE3-1216B784D93B}" xr6:coauthVersionLast="36" xr6:coauthVersionMax="36" xr10:uidLastSave="{00000000-0000-0000-0000-000000000000}"/>
  <bookViews>
    <workbookView xWindow="16050" yWindow="105" windowWidth="14805" windowHeight="8010" activeTab="3" xr2:uid="{00000000-000D-0000-FFFF-FFFF00000000}"/>
  </bookViews>
  <sheets>
    <sheet name="一覧表示用" sheetId="1" r:id="rId1"/>
    <sheet name="一覧決定用" sheetId="3" r:id="rId2"/>
    <sheet name="研究室" sheetId="4" r:id="rId3"/>
    <sheet name="回答" sheetId="2" r:id="rId4"/>
    <sheet name="調整用マクロ" sheetId="5" r:id="rId5"/>
  </sheets>
  <definedNames>
    <definedName name="_xlnm._FilterDatabase" localSheetId="4" hidden="1">調整用マクロ!$C$4:$D$4</definedName>
    <definedName name="B配属">調整用マクロ!$K$8</definedName>
    <definedName name="B枠数">調整用マクロ!$M$8</definedName>
    <definedName name="MA配属">調整用マクロ!$K$7</definedName>
    <definedName name="MA枠数">調整用マクロ!$M$7</definedName>
    <definedName name="M配属">調整用マクロ!$K$6</definedName>
    <definedName name="M枠数">調整用マクロ!$M$6</definedName>
    <definedName name="研究室名">研究室[研究室名]</definedName>
  </definedNames>
  <calcPr calcId="191028"/>
</workbook>
</file>

<file path=xl/calcChain.xml><?xml version="1.0" encoding="utf-8"?>
<calcChain xmlns="http://schemas.openxmlformats.org/spreadsheetml/2006/main">
  <c r="N8" i="2" l="1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7" i="2"/>
  <c r="N7" i="2"/>
  <c r="O8" i="2" l="1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7" i="2"/>
  <c r="D8" i="2"/>
  <c r="D9" i="2"/>
  <c r="D4" i="1"/>
  <c r="C4" i="1"/>
  <c r="B4" i="1"/>
  <c r="D3" i="1"/>
  <c r="C3" i="1"/>
  <c r="B3" i="1"/>
  <c r="D2" i="1"/>
  <c r="C2" i="1"/>
  <c r="B2" i="1"/>
  <c r="D1" i="1"/>
  <c r="C1" i="1"/>
  <c r="B1" i="1"/>
  <c r="M4" i="1"/>
  <c r="L4" i="1"/>
  <c r="K4" i="1"/>
  <c r="J4" i="1"/>
  <c r="I4" i="1"/>
  <c r="H4" i="1"/>
  <c r="G4" i="1"/>
  <c r="F4" i="1"/>
  <c r="E4" i="1"/>
  <c r="M3" i="1"/>
  <c r="L3" i="1"/>
  <c r="K3" i="1"/>
  <c r="J3" i="1"/>
  <c r="I3" i="1"/>
  <c r="H3" i="1"/>
  <c r="G3" i="1"/>
  <c r="F3" i="1"/>
  <c r="E3" i="1"/>
  <c r="M2" i="1"/>
  <c r="L2" i="1"/>
  <c r="K2" i="1"/>
  <c r="J2" i="1"/>
  <c r="I2" i="1"/>
  <c r="H2" i="1"/>
  <c r="G2" i="1"/>
  <c r="F2" i="1"/>
  <c r="E2" i="1"/>
  <c r="M1" i="1"/>
  <c r="L1" i="1"/>
  <c r="K1" i="1"/>
  <c r="J1" i="1"/>
  <c r="I1" i="1"/>
  <c r="H1" i="1"/>
  <c r="G1" i="1"/>
  <c r="F1" i="1"/>
  <c r="E1" i="1"/>
  <c r="D7" i="4" l="1"/>
  <c r="C7" i="4"/>
  <c r="J24" i="2" l="1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7" i="2"/>
  <c r="N4" i="1" l="1"/>
  <c r="N3" i="1"/>
  <c r="N2" i="1"/>
  <c r="N1" i="1"/>
  <c r="P7" i="2"/>
  <c r="L25" i="3"/>
  <c r="J25" i="3"/>
  <c r="H25" i="3"/>
  <c r="F25" i="3"/>
  <c r="D25" i="3"/>
  <c r="B25" i="3"/>
  <c r="M24" i="3"/>
  <c r="M25" i="3" s="1"/>
  <c r="K24" i="3"/>
  <c r="K25" i="3" s="1"/>
  <c r="I24" i="3"/>
  <c r="I25" i="3" s="1"/>
  <c r="G24" i="3"/>
  <c r="G25" i="3" s="1"/>
  <c r="E24" i="3"/>
  <c r="E25" i="3" s="1"/>
  <c r="C24" i="3"/>
  <c r="C25" i="3" s="1"/>
  <c r="M1" i="3"/>
  <c r="K1" i="3"/>
  <c r="I1" i="3"/>
  <c r="G1" i="3"/>
  <c r="E1" i="3"/>
  <c r="C1" i="3"/>
  <c r="M2" i="3"/>
  <c r="L2" i="3"/>
  <c r="K2" i="3"/>
  <c r="J2" i="3"/>
  <c r="I2" i="3"/>
  <c r="H2" i="3"/>
  <c r="G2" i="3"/>
  <c r="F2" i="3"/>
  <c r="E2" i="3"/>
  <c r="D2" i="3"/>
  <c r="C2" i="3"/>
  <c r="B2" i="3"/>
  <c r="R24" i="2"/>
  <c r="S24" i="2"/>
  <c r="R25" i="2"/>
  <c r="S25" i="2"/>
  <c r="R26" i="2"/>
  <c r="S26" i="2"/>
  <c r="R27" i="2"/>
  <c r="S27" i="2"/>
  <c r="R28" i="2"/>
  <c r="S28" i="2"/>
  <c r="R29" i="2"/>
  <c r="S29" i="2"/>
  <c r="R30" i="2"/>
  <c r="S30" i="2"/>
  <c r="R31" i="2"/>
  <c r="S31" i="2"/>
  <c r="R32" i="2"/>
  <c r="S32" i="2"/>
  <c r="R33" i="2"/>
  <c r="S33" i="2"/>
  <c r="R34" i="2"/>
  <c r="S34" i="2"/>
  <c r="R35" i="2"/>
  <c r="S35" i="2"/>
  <c r="R36" i="2"/>
  <c r="S36" i="2"/>
  <c r="R37" i="2"/>
  <c r="S37" i="2"/>
  <c r="R38" i="2"/>
  <c r="S38" i="2"/>
  <c r="R39" i="2"/>
  <c r="S39" i="2"/>
  <c r="R40" i="2"/>
  <c r="S40" i="2"/>
  <c r="R41" i="2"/>
  <c r="S41" i="2"/>
  <c r="R42" i="2"/>
  <c r="S42" i="2"/>
  <c r="R43" i="2"/>
  <c r="S43" i="2"/>
  <c r="R44" i="2"/>
  <c r="S44" i="2"/>
  <c r="R45" i="2"/>
  <c r="S45" i="2"/>
  <c r="R46" i="2"/>
  <c r="S46" i="2"/>
  <c r="R47" i="2"/>
  <c r="S47" i="2"/>
  <c r="R48" i="2"/>
  <c r="S48" i="2"/>
  <c r="R49" i="2"/>
  <c r="S49" i="2"/>
  <c r="R50" i="2"/>
  <c r="S50" i="2"/>
  <c r="R51" i="2"/>
  <c r="S51" i="2"/>
  <c r="R52" i="2"/>
  <c r="S52" i="2"/>
  <c r="R53" i="2"/>
  <c r="S53" i="2"/>
  <c r="R54" i="2"/>
  <c r="S54" i="2"/>
  <c r="R55" i="2"/>
  <c r="S55" i="2"/>
  <c r="R56" i="2"/>
  <c r="S56" i="2"/>
  <c r="R57" i="2"/>
  <c r="S57" i="2"/>
  <c r="R58" i="2"/>
  <c r="S58" i="2"/>
  <c r="R59" i="2"/>
  <c r="S59" i="2"/>
  <c r="R60" i="2"/>
  <c r="S60" i="2"/>
  <c r="R61" i="2"/>
  <c r="S61" i="2"/>
  <c r="R62" i="2"/>
  <c r="S62" i="2"/>
  <c r="R63" i="2"/>
  <c r="S63" i="2"/>
  <c r="R64" i="2"/>
  <c r="S64" i="2"/>
  <c r="R65" i="2"/>
  <c r="S65" i="2"/>
  <c r="R66" i="2"/>
  <c r="S66" i="2"/>
  <c r="R67" i="2"/>
  <c r="S67" i="2"/>
  <c r="R68" i="2"/>
  <c r="S68" i="2"/>
  <c r="R69" i="2"/>
  <c r="S69" i="2"/>
  <c r="R70" i="2"/>
  <c r="S70" i="2"/>
  <c r="R71" i="2"/>
  <c r="S71" i="2"/>
  <c r="R72" i="2"/>
  <c r="S72" i="2"/>
  <c r="R73" i="2"/>
  <c r="S73" i="2"/>
  <c r="R74" i="2"/>
  <c r="S74" i="2"/>
  <c r="R75" i="2"/>
  <c r="S75" i="2"/>
  <c r="R76" i="2"/>
  <c r="S76" i="2"/>
  <c r="R77" i="2"/>
  <c r="S77" i="2"/>
  <c r="R78" i="2"/>
  <c r="S78" i="2"/>
  <c r="R79" i="2"/>
  <c r="S79" i="2"/>
  <c r="R80" i="2"/>
  <c r="S80" i="2"/>
  <c r="R81" i="2"/>
  <c r="S81" i="2"/>
  <c r="R82" i="2"/>
  <c r="S82" i="2"/>
  <c r="R83" i="2"/>
  <c r="S83" i="2"/>
  <c r="R84" i="2"/>
  <c r="S84" i="2"/>
  <c r="R85" i="2"/>
  <c r="S85" i="2"/>
  <c r="R86" i="2"/>
  <c r="S86" i="2"/>
  <c r="R87" i="2"/>
  <c r="S87" i="2"/>
  <c r="R88" i="2"/>
  <c r="S88" i="2"/>
  <c r="R89" i="2"/>
  <c r="S89" i="2"/>
  <c r="R90" i="2"/>
  <c r="S90" i="2"/>
  <c r="R91" i="2"/>
  <c r="S91" i="2"/>
  <c r="R92" i="2"/>
  <c r="S92" i="2"/>
  <c r="R93" i="2"/>
  <c r="S93" i="2"/>
  <c r="R94" i="2"/>
  <c r="S94" i="2"/>
  <c r="R95" i="2"/>
  <c r="S95" i="2"/>
  <c r="R96" i="2"/>
  <c r="S96" i="2"/>
  <c r="R97" i="2"/>
  <c r="S97" i="2"/>
  <c r="R98" i="2"/>
  <c r="S98" i="2"/>
  <c r="R99" i="2"/>
  <c r="S99" i="2"/>
  <c r="R100" i="2"/>
  <c r="S100" i="2"/>
  <c r="R101" i="2"/>
  <c r="S101" i="2"/>
  <c r="R102" i="2"/>
  <c r="S102" i="2"/>
  <c r="R103" i="2"/>
  <c r="S103" i="2"/>
  <c r="R104" i="2"/>
  <c r="S104" i="2"/>
  <c r="R105" i="2"/>
  <c r="S105" i="2"/>
  <c r="R106" i="2"/>
  <c r="S106" i="2"/>
  <c r="R107" i="2"/>
  <c r="S107" i="2"/>
  <c r="R108" i="2"/>
  <c r="S108" i="2"/>
  <c r="R109" i="2"/>
  <c r="S109" i="2"/>
  <c r="R110" i="2"/>
  <c r="S110" i="2"/>
  <c r="R111" i="2"/>
  <c r="S111" i="2"/>
  <c r="R112" i="2"/>
  <c r="S112" i="2"/>
  <c r="R113" i="2"/>
  <c r="S113" i="2"/>
  <c r="R114" i="2"/>
  <c r="S114" i="2"/>
  <c r="R115" i="2"/>
  <c r="S115" i="2"/>
  <c r="R116" i="2"/>
  <c r="S116" i="2"/>
  <c r="R117" i="2"/>
  <c r="S117" i="2"/>
  <c r="R118" i="2"/>
  <c r="S118" i="2"/>
  <c r="R119" i="2"/>
  <c r="S119" i="2"/>
  <c r="R120" i="2"/>
  <c r="S120" i="2"/>
  <c r="R121" i="2"/>
  <c r="S121" i="2"/>
  <c r="R122" i="2"/>
  <c r="S122" i="2"/>
  <c r="R123" i="2"/>
  <c r="S123" i="2"/>
  <c r="R124" i="2"/>
  <c r="S124" i="2"/>
  <c r="R125" i="2"/>
  <c r="S125" i="2"/>
  <c r="R126" i="2"/>
  <c r="S126" i="2"/>
  <c r="R127" i="2"/>
  <c r="S127" i="2"/>
  <c r="R128" i="2"/>
  <c r="S128" i="2"/>
  <c r="R129" i="2"/>
  <c r="S129" i="2"/>
  <c r="R130" i="2"/>
  <c r="S130" i="2"/>
  <c r="R131" i="2"/>
  <c r="S131" i="2"/>
  <c r="R132" i="2"/>
  <c r="S132" i="2"/>
  <c r="R133" i="2"/>
  <c r="S133" i="2"/>
  <c r="R134" i="2"/>
  <c r="S134" i="2"/>
  <c r="R135" i="2"/>
  <c r="S135" i="2"/>
  <c r="R136" i="2"/>
  <c r="S136" i="2"/>
  <c r="R137" i="2"/>
  <c r="S137" i="2"/>
  <c r="R138" i="2"/>
  <c r="S138" i="2"/>
  <c r="R139" i="2"/>
  <c r="S139" i="2"/>
  <c r="R140" i="2"/>
  <c r="S140" i="2"/>
  <c r="R141" i="2"/>
  <c r="S141" i="2"/>
  <c r="R142" i="2"/>
  <c r="S142" i="2"/>
  <c r="R143" i="2"/>
  <c r="S143" i="2"/>
  <c r="R144" i="2"/>
  <c r="S144" i="2"/>
  <c r="R145" i="2"/>
  <c r="S145" i="2"/>
  <c r="R146" i="2"/>
  <c r="S146" i="2"/>
  <c r="R147" i="2"/>
  <c r="S147" i="2"/>
  <c r="R148" i="2"/>
  <c r="S148" i="2"/>
  <c r="R149" i="2"/>
  <c r="S149" i="2"/>
  <c r="R150" i="2"/>
  <c r="S150" i="2"/>
  <c r="R151" i="2"/>
  <c r="S151" i="2"/>
  <c r="R152" i="2"/>
  <c r="S152" i="2"/>
  <c r="R153" i="2"/>
  <c r="S153" i="2"/>
  <c r="R154" i="2"/>
  <c r="S154" i="2"/>
  <c r="R155" i="2"/>
  <c r="S155" i="2"/>
  <c r="R156" i="2"/>
  <c r="S156" i="2"/>
  <c r="R157" i="2"/>
  <c r="S157" i="2"/>
  <c r="R158" i="2"/>
  <c r="S158" i="2"/>
  <c r="R159" i="2"/>
  <c r="S159" i="2"/>
  <c r="R160" i="2"/>
  <c r="S160" i="2"/>
  <c r="R161" i="2"/>
  <c r="S161" i="2"/>
  <c r="R162" i="2"/>
  <c r="S162" i="2"/>
  <c r="R163" i="2"/>
  <c r="S163" i="2"/>
  <c r="R164" i="2"/>
  <c r="S164" i="2"/>
  <c r="R165" i="2"/>
  <c r="S165" i="2"/>
  <c r="R166" i="2"/>
  <c r="S166" i="2"/>
  <c r="R167" i="2"/>
  <c r="S167" i="2"/>
  <c r="R168" i="2"/>
  <c r="S168" i="2"/>
  <c r="R169" i="2"/>
  <c r="S169" i="2"/>
  <c r="R170" i="2"/>
  <c r="S170" i="2"/>
  <c r="R171" i="2"/>
  <c r="S171" i="2"/>
  <c r="R172" i="2"/>
  <c r="S172" i="2"/>
  <c r="R173" i="2"/>
  <c r="S173" i="2"/>
  <c r="R174" i="2"/>
  <c r="S174" i="2"/>
  <c r="R175" i="2"/>
  <c r="S175" i="2"/>
  <c r="R176" i="2"/>
  <c r="S176" i="2"/>
  <c r="R177" i="2"/>
  <c r="S177" i="2"/>
  <c r="R178" i="2"/>
  <c r="S178" i="2"/>
  <c r="R179" i="2"/>
  <c r="S179" i="2"/>
  <c r="R180" i="2"/>
  <c r="S180" i="2"/>
  <c r="R181" i="2"/>
  <c r="S181" i="2"/>
  <c r="R182" i="2"/>
  <c r="S182" i="2"/>
  <c r="R183" i="2"/>
  <c r="S183" i="2"/>
  <c r="R184" i="2"/>
  <c r="S184" i="2"/>
  <c r="R185" i="2"/>
  <c r="S185" i="2"/>
  <c r="R186" i="2"/>
  <c r="S186" i="2"/>
  <c r="R187" i="2"/>
  <c r="S187" i="2"/>
  <c r="R188" i="2"/>
  <c r="S188" i="2"/>
  <c r="R189" i="2"/>
  <c r="S189" i="2"/>
  <c r="R190" i="2"/>
  <c r="S190" i="2"/>
  <c r="R191" i="2"/>
  <c r="S191" i="2"/>
  <c r="R192" i="2"/>
  <c r="S192" i="2"/>
  <c r="R193" i="2"/>
  <c r="S193" i="2"/>
  <c r="R194" i="2"/>
  <c r="S194" i="2"/>
  <c r="R195" i="2"/>
  <c r="S195" i="2"/>
  <c r="R196" i="2"/>
  <c r="S196" i="2"/>
  <c r="R197" i="2"/>
  <c r="S197" i="2"/>
  <c r="R198" i="2"/>
  <c r="S198" i="2"/>
  <c r="R199" i="2"/>
  <c r="S199" i="2"/>
  <c r="R200" i="2"/>
  <c r="S200" i="2"/>
  <c r="R201" i="2"/>
  <c r="S201" i="2"/>
  <c r="R202" i="2"/>
  <c r="S202" i="2"/>
  <c r="R203" i="2"/>
  <c r="S203" i="2"/>
  <c r="R204" i="2"/>
  <c r="S204" i="2"/>
  <c r="R205" i="2"/>
  <c r="S205" i="2"/>
  <c r="R206" i="2"/>
  <c r="S206" i="2"/>
  <c r="R207" i="2"/>
  <c r="S207" i="2"/>
  <c r="R208" i="2"/>
  <c r="S208" i="2"/>
  <c r="R209" i="2"/>
  <c r="S209" i="2"/>
  <c r="R210" i="2"/>
  <c r="S210" i="2"/>
  <c r="R211" i="2"/>
  <c r="S211" i="2"/>
  <c r="R212" i="2"/>
  <c r="S212" i="2"/>
  <c r="R213" i="2"/>
  <c r="S213" i="2"/>
  <c r="R214" i="2"/>
  <c r="S214" i="2"/>
  <c r="R215" i="2"/>
  <c r="S215" i="2"/>
  <c r="R216" i="2"/>
  <c r="S216" i="2"/>
  <c r="R217" i="2"/>
  <c r="S217" i="2"/>
  <c r="R218" i="2"/>
  <c r="S218" i="2"/>
  <c r="R219" i="2"/>
  <c r="S219" i="2"/>
  <c r="R220" i="2"/>
  <c r="S220" i="2"/>
  <c r="R221" i="2"/>
  <c r="S221" i="2"/>
  <c r="R222" i="2"/>
  <c r="S222" i="2"/>
  <c r="R223" i="2"/>
  <c r="S223" i="2"/>
  <c r="R224" i="2"/>
  <c r="S224" i="2"/>
  <c r="R225" i="2"/>
  <c r="S225" i="2"/>
  <c r="R226" i="2"/>
  <c r="S226" i="2"/>
  <c r="R227" i="2"/>
  <c r="S227" i="2"/>
  <c r="R228" i="2"/>
  <c r="S228" i="2"/>
  <c r="R229" i="2"/>
  <c r="S229" i="2"/>
  <c r="R230" i="2"/>
  <c r="S230" i="2"/>
  <c r="R231" i="2"/>
  <c r="S231" i="2"/>
  <c r="R232" i="2"/>
  <c r="S232" i="2"/>
  <c r="R233" i="2"/>
  <c r="S233" i="2"/>
  <c r="R234" i="2"/>
  <c r="S234" i="2"/>
  <c r="R235" i="2"/>
  <c r="S235" i="2"/>
  <c r="R236" i="2"/>
  <c r="S236" i="2"/>
  <c r="R237" i="2"/>
  <c r="S237" i="2"/>
  <c r="R238" i="2"/>
  <c r="S238" i="2"/>
  <c r="R239" i="2"/>
  <c r="S239" i="2"/>
  <c r="R240" i="2"/>
  <c r="S240" i="2"/>
  <c r="R241" i="2"/>
  <c r="S241" i="2"/>
  <c r="R242" i="2"/>
  <c r="S242" i="2"/>
  <c r="R243" i="2"/>
  <c r="S243" i="2"/>
  <c r="R244" i="2"/>
  <c r="S244" i="2"/>
  <c r="R245" i="2"/>
  <c r="S245" i="2"/>
  <c r="R246" i="2"/>
  <c r="S246" i="2"/>
  <c r="R247" i="2"/>
  <c r="S247" i="2"/>
  <c r="R248" i="2"/>
  <c r="S248" i="2"/>
  <c r="R249" i="2"/>
  <c r="S249" i="2"/>
  <c r="R250" i="2"/>
  <c r="S250" i="2"/>
  <c r="R251" i="2"/>
  <c r="S251" i="2"/>
  <c r="R252" i="2"/>
  <c r="S252" i="2"/>
  <c r="R253" i="2"/>
  <c r="S253" i="2"/>
  <c r="R254" i="2"/>
  <c r="S254" i="2"/>
  <c r="R255" i="2"/>
  <c r="S255" i="2"/>
  <c r="R256" i="2"/>
  <c r="S256" i="2"/>
  <c r="R19" i="2"/>
  <c r="S19" i="2"/>
  <c r="R20" i="2"/>
  <c r="S20" i="2"/>
  <c r="R21" i="2"/>
  <c r="S21" i="2"/>
  <c r="R22" i="2"/>
  <c r="S22" i="2"/>
  <c r="R23" i="2"/>
  <c r="S23" i="2"/>
  <c r="R8" i="2"/>
  <c r="S8" i="2"/>
  <c r="R9" i="2"/>
  <c r="S9" i="2"/>
  <c r="R10" i="2"/>
  <c r="S10" i="2"/>
  <c r="R11" i="2"/>
  <c r="S11" i="2"/>
  <c r="R12" i="2"/>
  <c r="S12" i="2"/>
  <c r="R13" i="2"/>
  <c r="S13" i="2"/>
  <c r="R14" i="2"/>
  <c r="S14" i="2"/>
  <c r="R15" i="2"/>
  <c r="S15" i="2"/>
  <c r="R16" i="2"/>
  <c r="S16" i="2"/>
  <c r="R17" i="2"/>
  <c r="S17" i="2"/>
  <c r="R18" i="2"/>
  <c r="S18" i="2"/>
  <c r="S7" i="2"/>
  <c r="R7" i="2"/>
  <c r="P256" i="2" l="1"/>
  <c r="Q256" i="2" s="1"/>
  <c r="P216" i="2"/>
  <c r="Q216" i="2" s="1"/>
  <c r="P176" i="2"/>
  <c r="Q176" i="2" s="1"/>
  <c r="P136" i="2"/>
  <c r="Q136" i="2" s="1"/>
  <c r="P96" i="2"/>
  <c r="Q96" i="2" s="1"/>
  <c r="P36" i="2"/>
  <c r="Q36" i="2" s="1"/>
  <c r="P155" i="2"/>
  <c r="Q155" i="2" s="1"/>
  <c r="P15" i="2"/>
  <c r="Q15" i="2" s="1"/>
  <c r="P253" i="2"/>
  <c r="Q253" i="2" s="1"/>
  <c r="P13" i="2"/>
  <c r="Q13" i="2" s="1"/>
  <c r="P12" i="2"/>
  <c r="Q12" i="2" s="1"/>
  <c r="P10" i="2"/>
  <c r="Q10" i="2" s="1"/>
  <c r="P9" i="2"/>
  <c r="Q9" i="2" s="1"/>
  <c r="P8" i="2"/>
  <c r="Q8" i="2" s="1"/>
  <c r="P236" i="2"/>
  <c r="Q236" i="2" s="1"/>
  <c r="P196" i="2"/>
  <c r="Q196" i="2" s="1"/>
  <c r="P156" i="2"/>
  <c r="Q156" i="2" s="1"/>
  <c r="P116" i="2"/>
  <c r="Q116" i="2" s="1"/>
  <c r="P76" i="2"/>
  <c r="Q76" i="2" s="1"/>
  <c r="P56" i="2"/>
  <c r="Q56" i="2" s="1"/>
  <c r="P16" i="2"/>
  <c r="Q16" i="2" s="1"/>
  <c r="P175" i="2"/>
  <c r="Q175" i="2" s="1"/>
  <c r="P135" i="2"/>
  <c r="Q135" i="2" s="1"/>
  <c r="P14" i="2"/>
  <c r="Q14" i="2" s="1"/>
  <c r="P213" i="2"/>
  <c r="Q213" i="2" s="1"/>
  <c r="P107" i="2"/>
  <c r="Q107" i="2" s="1"/>
  <c r="P255" i="2"/>
  <c r="Q255" i="2" s="1"/>
  <c r="P215" i="2"/>
  <c r="Q215" i="2" s="1"/>
  <c r="P235" i="2"/>
  <c r="Q235" i="2" s="1"/>
  <c r="P95" i="2"/>
  <c r="Q95" i="2" s="1"/>
  <c r="P55" i="2"/>
  <c r="Q55" i="2" s="1"/>
  <c r="P254" i="2"/>
  <c r="Q254" i="2" s="1"/>
  <c r="P154" i="2"/>
  <c r="Q154" i="2" s="1"/>
  <c r="P34" i="2"/>
  <c r="Q34" i="2" s="1"/>
  <c r="P214" i="2"/>
  <c r="Q214" i="2" s="1"/>
  <c r="P134" i="2"/>
  <c r="Q134" i="2" s="1"/>
  <c r="P54" i="2"/>
  <c r="Q54" i="2" s="1"/>
  <c r="P93" i="2"/>
  <c r="Q93" i="2" s="1"/>
  <c r="P133" i="2"/>
  <c r="Q133" i="2" s="1"/>
  <c r="P33" i="2"/>
  <c r="Q33" i="2" s="1"/>
  <c r="P232" i="2"/>
  <c r="Q232" i="2" s="1"/>
  <c r="P72" i="2"/>
  <c r="Q72" i="2" s="1"/>
  <c r="P231" i="2"/>
  <c r="Q231" i="2" s="1"/>
  <c r="P191" i="2"/>
  <c r="Q191" i="2" s="1"/>
  <c r="P111" i="2"/>
  <c r="Q111" i="2" s="1"/>
  <c r="P250" i="2"/>
  <c r="Q250" i="2" s="1"/>
  <c r="P130" i="2"/>
  <c r="Q130" i="2" s="1"/>
  <c r="P70" i="2"/>
  <c r="Q70" i="2" s="1"/>
  <c r="P249" i="2"/>
  <c r="Q249" i="2" s="1"/>
  <c r="P189" i="2"/>
  <c r="Q189" i="2" s="1"/>
  <c r="P109" i="2"/>
  <c r="Q109" i="2" s="1"/>
  <c r="P69" i="2"/>
  <c r="Q69" i="2" s="1"/>
  <c r="P49" i="2"/>
  <c r="Q49" i="2" s="1"/>
  <c r="P208" i="2"/>
  <c r="Q208" i="2" s="1"/>
  <c r="P168" i="2"/>
  <c r="Q168" i="2" s="1"/>
  <c r="P88" i="2"/>
  <c r="Q88" i="2" s="1"/>
  <c r="P28" i="2"/>
  <c r="Q28" i="2" s="1"/>
  <c r="P239" i="2"/>
  <c r="Q239" i="2" s="1"/>
  <c r="P219" i="2"/>
  <c r="Q219" i="2" s="1"/>
  <c r="P199" i="2"/>
  <c r="Q199" i="2" s="1"/>
  <c r="P179" i="2"/>
  <c r="Q179" i="2" s="1"/>
  <c r="P159" i="2"/>
  <c r="Q159" i="2" s="1"/>
  <c r="P139" i="2"/>
  <c r="Q139" i="2" s="1"/>
  <c r="P119" i="2"/>
  <c r="Q119" i="2" s="1"/>
  <c r="P99" i="2"/>
  <c r="Q99" i="2" s="1"/>
  <c r="P79" i="2"/>
  <c r="Q79" i="2" s="1"/>
  <c r="P59" i="2"/>
  <c r="Q59" i="2" s="1"/>
  <c r="P39" i="2"/>
  <c r="Q39" i="2" s="1"/>
  <c r="P19" i="2"/>
  <c r="Q19" i="2" s="1"/>
  <c r="P35" i="2"/>
  <c r="Q35" i="2" s="1"/>
  <c r="P194" i="2"/>
  <c r="Q194" i="2" s="1"/>
  <c r="P114" i="2"/>
  <c r="Q114" i="2" s="1"/>
  <c r="P153" i="2"/>
  <c r="Q153" i="2" s="1"/>
  <c r="P172" i="2"/>
  <c r="Q172" i="2" s="1"/>
  <c r="P112" i="2"/>
  <c r="Q112" i="2" s="1"/>
  <c r="P52" i="2"/>
  <c r="Q52" i="2" s="1"/>
  <c r="P211" i="2"/>
  <c r="Q211" i="2" s="1"/>
  <c r="P151" i="2"/>
  <c r="Q151" i="2" s="1"/>
  <c r="P31" i="2"/>
  <c r="Q31" i="2" s="1"/>
  <c r="P230" i="2"/>
  <c r="Q230" i="2" s="1"/>
  <c r="P190" i="2"/>
  <c r="Q190" i="2" s="1"/>
  <c r="P150" i="2"/>
  <c r="Q150" i="2" s="1"/>
  <c r="P90" i="2"/>
  <c r="Q90" i="2" s="1"/>
  <c r="P30" i="2"/>
  <c r="Q30" i="2" s="1"/>
  <c r="P229" i="2"/>
  <c r="Q229" i="2" s="1"/>
  <c r="P129" i="2"/>
  <c r="Q129" i="2" s="1"/>
  <c r="P89" i="2"/>
  <c r="Q89" i="2" s="1"/>
  <c r="P29" i="2"/>
  <c r="Q29" i="2" s="1"/>
  <c r="P248" i="2"/>
  <c r="Q248" i="2" s="1"/>
  <c r="P188" i="2"/>
  <c r="Q188" i="2" s="1"/>
  <c r="P128" i="2"/>
  <c r="Q128" i="2" s="1"/>
  <c r="P108" i="2"/>
  <c r="Q108" i="2" s="1"/>
  <c r="P48" i="2"/>
  <c r="Q48" i="2" s="1"/>
  <c r="P238" i="2"/>
  <c r="Q238" i="2" s="1"/>
  <c r="P218" i="2"/>
  <c r="Q218" i="2" s="1"/>
  <c r="P198" i="2"/>
  <c r="Q198" i="2" s="1"/>
  <c r="P178" i="2"/>
  <c r="Q178" i="2" s="1"/>
  <c r="P158" i="2"/>
  <c r="Q158" i="2" s="1"/>
  <c r="P138" i="2"/>
  <c r="Q138" i="2" s="1"/>
  <c r="P118" i="2"/>
  <c r="Q118" i="2" s="1"/>
  <c r="P98" i="2"/>
  <c r="Q98" i="2" s="1"/>
  <c r="P78" i="2"/>
  <c r="Q78" i="2" s="1"/>
  <c r="P58" i="2"/>
  <c r="Q58" i="2" s="1"/>
  <c r="P38" i="2"/>
  <c r="Q38" i="2" s="1"/>
  <c r="P18" i="2"/>
  <c r="Q18" i="2" s="1"/>
  <c r="P195" i="2"/>
  <c r="Q195" i="2" s="1"/>
  <c r="P115" i="2"/>
  <c r="Q115" i="2" s="1"/>
  <c r="P75" i="2"/>
  <c r="Q75" i="2" s="1"/>
  <c r="P234" i="2"/>
  <c r="Q234" i="2" s="1"/>
  <c r="P174" i="2"/>
  <c r="Q174" i="2" s="1"/>
  <c r="P94" i="2"/>
  <c r="Q94" i="2" s="1"/>
  <c r="P74" i="2"/>
  <c r="Q74" i="2" s="1"/>
  <c r="P173" i="2"/>
  <c r="Q173" i="2" s="1"/>
  <c r="P113" i="2"/>
  <c r="Q113" i="2" s="1"/>
  <c r="P73" i="2"/>
  <c r="Q73" i="2" s="1"/>
  <c r="P212" i="2"/>
  <c r="Q212" i="2" s="1"/>
  <c r="P152" i="2"/>
  <c r="Q152" i="2" s="1"/>
  <c r="P92" i="2"/>
  <c r="Q92" i="2" s="1"/>
  <c r="P32" i="2"/>
  <c r="Q32" i="2" s="1"/>
  <c r="P171" i="2"/>
  <c r="Q171" i="2" s="1"/>
  <c r="P51" i="2"/>
  <c r="Q51" i="2" s="1"/>
  <c r="P210" i="2"/>
  <c r="Q210" i="2" s="1"/>
  <c r="P170" i="2"/>
  <c r="Q170" i="2" s="1"/>
  <c r="P110" i="2"/>
  <c r="Q110" i="2" s="1"/>
  <c r="P50" i="2"/>
  <c r="Q50" i="2" s="1"/>
  <c r="P169" i="2"/>
  <c r="Q169" i="2" s="1"/>
  <c r="P228" i="2"/>
  <c r="Q228" i="2" s="1"/>
  <c r="P148" i="2"/>
  <c r="Q148" i="2" s="1"/>
  <c r="P68" i="2"/>
  <c r="Q68" i="2" s="1"/>
  <c r="P237" i="2"/>
  <c r="Q237" i="2" s="1"/>
  <c r="P217" i="2"/>
  <c r="Q217" i="2" s="1"/>
  <c r="P197" i="2"/>
  <c r="Q197" i="2" s="1"/>
  <c r="P177" i="2"/>
  <c r="Q177" i="2" s="1"/>
  <c r="P157" i="2"/>
  <c r="Q157" i="2" s="1"/>
  <c r="P137" i="2"/>
  <c r="Q137" i="2" s="1"/>
  <c r="P117" i="2"/>
  <c r="Q117" i="2" s="1"/>
  <c r="P97" i="2"/>
  <c r="Q97" i="2" s="1"/>
  <c r="P77" i="2"/>
  <c r="Q77" i="2" s="1"/>
  <c r="P57" i="2"/>
  <c r="Q57" i="2" s="1"/>
  <c r="P37" i="2"/>
  <c r="Q37" i="2" s="1"/>
  <c r="P17" i="2"/>
  <c r="Q17" i="2" s="1"/>
  <c r="P247" i="2"/>
  <c r="Q247" i="2" s="1"/>
  <c r="P227" i="2"/>
  <c r="Q227" i="2" s="1"/>
  <c r="P207" i="2"/>
  <c r="Q207" i="2" s="1"/>
  <c r="P167" i="2"/>
  <c r="Q167" i="2" s="1"/>
  <c r="P147" i="2"/>
  <c r="Q147" i="2" s="1"/>
  <c r="P127" i="2"/>
  <c r="Q127" i="2" s="1"/>
  <c r="P47" i="2"/>
  <c r="Q47" i="2" s="1"/>
  <c r="P246" i="2"/>
  <c r="Q246" i="2" s="1"/>
  <c r="P226" i="2"/>
  <c r="Q226" i="2" s="1"/>
  <c r="P206" i="2"/>
  <c r="Q206" i="2" s="1"/>
  <c r="P186" i="2"/>
  <c r="Q186" i="2" s="1"/>
  <c r="P166" i="2"/>
  <c r="Q166" i="2" s="1"/>
  <c r="P146" i="2"/>
  <c r="Q146" i="2" s="1"/>
  <c r="P126" i="2"/>
  <c r="Q126" i="2" s="1"/>
  <c r="P106" i="2"/>
  <c r="Q106" i="2" s="1"/>
  <c r="P225" i="2"/>
  <c r="Q225" i="2" s="1"/>
  <c r="P205" i="2"/>
  <c r="Q205" i="2" s="1"/>
  <c r="P125" i="2"/>
  <c r="Q125" i="2" s="1"/>
  <c r="P46" i="2"/>
  <c r="Q46" i="2" s="1"/>
  <c r="P165" i="2"/>
  <c r="Q165" i="2" s="1"/>
  <c r="P65" i="2"/>
  <c r="Q65" i="2" s="1"/>
  <c r="P224" i="2"/>
  <c r="Q224" i="2" s="1"/>
  <c r="P164" i="2"/>
  <c r="Q164" i="2" s="1"/>
  <c r="P64" i="2"/>
  <c r="Q64" i="2" s="1"/>
  <c r="P223" i="2"/>
  <c r="Q223" i="2" s="1"/>
  <c r="P183" i="2"/>
  <c r="Q183" i="2" s="1"/>
  <c r="P103" i="2"/>
  <c r="Q103" i="2" s="1"/>
  <c r="P63" i="2"/>
  <c r="Q63" i="2" s="1"/>
  <c r="P222" i="2"/>
  <c r="Q222" i="2" s="1"/>
  <c r="P162" i="2"/>
  <c r="Q162" i="2" s="1"/>
  <c r="P62" i="2"/>
  <c r="Q62" i="2" s="1"/>
  <c r="P221" i="2"/>
  <c r="Q221" i="2" s="1"/>
  <c r="P121" i="2"/>
  <c r="Q121" i="2" s="1"/>
  <c r="P21" i="2"/>
  <c r="Q21" i="2" s="1"/>
  <c r="P200" i="2"/>
  <c r="Q200" i="2" s="1"/>
  <c r="P180" i="2"/>
  <c r="Q180" i="2" s="1"/>
  <c r="P100" i="2"/>
  <c r="Q100" i="2" s="1"/>
  <c r="P80" i="2"/>
  <c r="Q80" i="2" s="1"/>
  <c r="P233" i="2"/>
  <c r="Q233" i="2" s="1"/>
  <c r="P251" i="2"/>
  <c r="Q251" i="2" s="1"/>
  <c r="P131" i="2"/>
  <c r="Q131" i="2" s="1"/>
  <c r="P91" i="2"/>
  <c r="Q91" i="2" s="1"/>
  <c r="P71" i="2"/>
  <c r="Q71" i="2" s="1"/>
  <c r="P11" i="2"/>
  <c r="Q11" i="2" s="1"/>
  <c r="P187" i="2"/>
  <c r="Q187" i="2" s="1"/>
  <c r="P27" i="2"/>
  <c r="Q27" i="2" s="1"/>
  <c r="P26" i="2"/>
  <c r="Q26" i="2" s="1"/>
  <c r="P105" i="2"/>
  <c r="Q105" i="2" s="1"/>
  <c r="P25" i="2"/>
  <c r="Q25" i="2" s="1"/>
  <c r="P244" i="2"/>
  <c r="Q244" i="2" s="1"/>
  <c r="P144" i="2"/>
  <c r="Q144" i="2" s="1"/>
  <c r="P84" i="2"/>
  <c r="Q84" i="2" s="1"/>
  <c r="P243" i="2"/>
  <c r="Q243" i="2" s="1"/>
  <c r="P163" i="2"/>
  <c r="Q163" i="2" s="1"/>
  <c r="P23" i="2"/>
  <c r="Q23" i="2" s="1"/>
  <c r="P242" i="2"/>
  <c r="Q242" i="2" s="1"/>
  <c r="P182" i="2"/>
  <c r="Q182" i="2" s="1"/>
  <c r="P102" i="2"/>
  <c r="Q102" i="2" s="1"/>
  <c r="P82" i="2"/>
  <c r="Q82" i="2" s="1"/>
  <c r="P181" i="2"/>
  <c r="Q181" i="2" s="1"/>
  <c r="P101" i="2"/>
  <c r="Q101" i="2" s="1"/>
  <c r="P61" i="2"/>
  <c r="Q61" i="2" s="1"/>
  <c r="P220" i="2"/>
  <c r="Q220" i="2" s="1"/>
  <c r="P120" i="2"/>
  <c r="Q120" i="2" s="1"/>
  <c r="P40" i="2"/>
  <c r="Q40" i="2" s="1"/>
  <c r="P193" i="2"/>
  <c r="Q193" i="2" s="1"/>
  <c r="P252" i="2"/>
  <c r="Q252" i="2" s="1"/>
  <c r="P192" i="2"/>
  <c r="Q192" i="2" s="1"/>
  <c r="P67" i="2"/>
  <c r="Q67" i="2" s="1"/>
  <c r="P66" i="2"/>
  <c r="Q66" i="2" s="1"/>
  <c r="P245" i="2"/>
  <c r="Q245" i="2" s="1"/>
  <c r="P145" i="2"/>
  <c r="Q145" i="2" s="1"/>
  <c r="P85" i="2"/>
  <c r="Q85" i="2" s="1"/>
  <c r="P204" i="2"/>
  <c r="Q204" i="2" s="1"/>
  <c r="P124" i="2"/>
  <c r="Q124" i="2" s="1"/>
  <c r="P44" i="2"/>
  <c r="Q44" i="2" s="1"/>
  <c r="P143" i="2"/>
  <c r="Q143" i="2" s="1"/>
  <c r="P43" i="2"/>
  <c r="Q43" i="2" s="1"/>
  <c r="P142" i="2"/>
  <c r="Q142" i="2" s="1"/>
  <c r="P22" i="2"/>
  <c r="Q22" i="2" s="1"/>
  <c r="P241" i="2"/>
  <c r="Q241" i="2" s="1"/>
  <c r="P161" i="2"/>
  <c r="Q161" i="2" s="1"/>
  <c r="P81" i="2"/>
  <c r="Q81" i="2" s="1"/>
  <c r="P160" i="2"/>
  <c r="Q160" i="2" s="1"/>
  <c r="P20" i="2"/>
  <c r="Q20" i="2" s="1"/>
  <c r="Q7" i="2"/>
  <c r="P53" i="2"/>
  <c r="Q53" i="2" s="1"/>
  <c r="P132" i="2"/>
  <c r="Q132" i="2" s="1"/>
  <c r="P209" i="2"/>
  <c r="Q209" i="2" s="1"/>
  <c r="P149" i="2"/>
  <c r="Q149" i="2" s="1"/>
  <c r="P87" i="2"/>
  <c r="Q87" i="2" s="1"/>
  <c r="P86" i="2"/>
  <c r="Q86" i="2" s="1"/>
  <c r="P185" i="2"/>
  <c r="Q185" i="2" s="1"/>
  <c r="P45" i="2"/>
  <c r="Q45" i="2" s="1"/>
  <c r="P184" i="2"/>
  <c r="Q184" i="2" s="1"/>
  <c r="P104" i="2"/>
  <c r="Q104" i="2" s="1"/>
  <c r="P24" i="2"/>
  <c r="Q24" i="2" s="1"/>
  <c r="P203" i="2"/>
  <c r="Q203" i="2" s="1"/>
  <c r="P123" i="2"/>
  <c r="Q123" i="2" s="1"/>
  <c r="P83" i="2"/>
  <c r="Q83" i="2" s="1"/>
  <c r="P202" i="2"/>
  <c r="Q202" i="2" s="1"/>
  <c r="P122" i="2"/>
  <c r="Q122" i="2" s="1"/>
  <c r="P42" i="2"/>
  <c r="Q42" i="2" s="1"/>
  <c r="P201" i="2"/>
  <c r="Q201" i="2" s="1"/>
  <c r="P141" i="2"/>
  <c r="Q141" i="2" s="1"/>
  <c r="P41" i="2"/>
  <c r="Q41" i="2" s="1"/>
  <c r="P240" i="2"/>
  <c r="Q240" i="2" s="1"/>
  <c r="P140" i="2"/>
  <c r="Q140" i="2" s="1"/>
  <c r="P60" i="2"/>
  <c r="Q60" i="2" s="1"/>
  <c r="L255" i="2"/>
  <c r="M255" i="2" s="1"/>
  <c r="L151" i="2"/>
  <c r="M151" i="2" s="1"/>
  <c r="L251" i="2"/>
  <c r="M251" i="2" s="1"/>
  <c r="L171" i="2"/>
  <c r="M171" i="2" s="1"/>
  <c r="L20" i="2"/>
  <c r="M20" i="2" s="1"/>
  <c r="L144" i="2"/>
  <c r="M144" i="2" s="1"/>
  <c r="L166" i="2"/>
  <c r="M166" i="2" s="1"/>
  <c r="L223" i="2"/>
  <c r="M223" i="2" s="1"/>
  <c r="L183" i="2"/>
  <c r="M183" i="2" s="1"/>
  <c r="L211" i="2"/>
  <c r="M211" i="2" s="1"/>
  <c r="L219" i="2"/>
  <c r="M219" i="2" s="1"/>
  <c r="L179" i="2"/>
  <c r="M179" i="2" s="1"/>
  <c r="L184" i="2"/>
  <c r="M184" i="2" s="1"/>
  <c r="L186" i="2"/>
  <c r="M186" i="2" s="1"/>
  <c r="L182" i="2"/>
  <c r="M182" i="2" s="1"/>
  <c r="L115" i="2"/>
  <c r="M115" i="2" s="1"/>
  <c r="L79" i="2"/>
  <c r="M79" i="2" s="1"/>
  <c r="L43" i="2"/>
  <c r="M43" i="2" s="1"/>
  <c r="L147" i="2"/>
  <c r="M147" i="2" s="1"/>
  <c r="L139" i="2"/>
  <c r="M139" i="2" s="1"/>
  <c r="L131" i="2"/>
  <c r="M131" i="2" s="1"/>
  <c r="L99" i="2"/>
  <c r="M99" i="2" s="1"/>
  <c r="L91" i="2"/>
  <c r="M91" i="2" s="1"/>
  <c r="L51" i="2"/>
  <c r="M51" i="2" s="1"/>
  <c r="L39" i="2"/>
  <c r="M39" i="2" s="1"/>
  <c r="L31" i="2"/>
  <c r="M31" i="2" s="1"/>
  <c r="L33" i="2"/>
  <c r="M33" i="2" s="1"/>
  <c r="L126" i="2"/>
  <c r="M126" i="2" s="1"/>
  <c r="L23" i="2"/>
  <c r="M23" i="2" s="1"/>
  <c r="L10" i="2"/>
  <c r="M10" i="2" s="1"/>
  <c r="L249" i="2"/>
  <c r="M249" i="2" s="1"/>
  <c r="L237" i="2"/>
  <c r="M237" i="2" s="1"/>
  <c r="L229" i="2"/>
  <c r="M229" i="2" s="1"/>
  <c r="L201" i="2"/>
  <c r="M201" i="2" s="1"/>
  <c r="L236" i="2"/>
  <c r="M236" i="2" s="1"/>
  <c r="L160" i="2"/>
  <c r="M160" i="2" s="1"/>
  <c r="L256" i="2"/>
  <c r="M256" i="2" s="1"/>
  <c r="L252" i="2"/>
  <c r="M252" i="2" s="1"/>
  <c r="L248" i="2"/>
  <c r="M248" i="2" s="1"/>
  <c r="L232" i="2"/>
  <c r="M232" i="2" s="1"/>
  <c r="L228" i="2"/>
  <c r="M228" i="2" s="1"/>
  <c r="L216" i="2"/>
  <c r="M216" i="2" s="1"/>
  <c r="L212" i="2"/>
  <c r="M212" i="2" s="1"/>
  <c r="L208" i="2"/>
  <c r="M208" i="2" s="1"/>
  <c r="L196" i="2"/>
  <c r="M196" i="2" s="1"/>
  <c r="L192" i="2"/>
  <c r="M192" i="2" s="1"/>
  <c r="L188" i="2"/>
  <c r="M188" i="2" s="1"/>
  <c r="L172" i="2"/>
  <c r="M172" i="2" s="1"/>
  <c r="L168" i="2"/>
  <c r="M168" i="2" s="1"/>
  <c r="L156" i="2"/>
  <c r="M156" i="2" s="1"/>
  <c r="L152" i="2"/>
  <c r="M152" i="2" s="1"/>
  <c r="L148" i="2"/>
  <c r="M148" i="2" s="1"/>
  <c r="L132" i="2"/>
  <c r="M132" i="2" s="1"/>
  <c r="L128" i="2"/>
  <c r="M128" i="2" s="1"/>
  <c r="L120" i="2"/>
  <c r="M120" i="2" s="1"/>
  <c r="L116" i="2"/>
  <c r="M116" i="2" s="1"/>
  <c r="L112" i="2"/>
  <c r="M112" i="2" s="1"/>
  <c r="L108" i="2"/>
  <c r="M108" i="2" s="1"/>
  <c r="L88" i="2"/>
  <c r="M88" i="2" s="1"/>
  <c r="L84" i="2"/>
  <c r="M84" i="2" s="1"/>
  <c r="L80" i="2"/>
  <c r="M80" i="2" s="1"/>
  <c r="L76" i="2"/>
  <c r="M76" i="2" s="1"/>
  <c r="L72" i="2"/>
  <c r="M72" i="2" s="1"/>
  <c r="L68" i="2"/>
  <c r="M68" i="2" s="1"/>
  <c r="L48" i="2"/>
  <c r="M48" i="2" s="1"/>
  <c r="L44" i="2"/>
  <c r="M44" i="2" s="1"/>
  <c r="L40" i="2"/>
  <c r="M40" i="2" s="1"/>
  <c r="L36" i="2"/>
  <c r="M36" i="2" s="1"/>
  <c r="L32" i="2"/>
  <c r="M32" i="2" s="1"/>
  <c r="L28" i="2"/>
  <c r="M28" i="2" s="1"/>
  <c r="L143" i="2"/>
  <c r="M143" i="2" s="1"/>
  <c r="L135" i="2"/>
  <c r="M135" i="2" s="1"/>
  <c r="L111" i="2"/>
  <c r="M111" i="2" s="1"/>
  <c r="L103" i="2"/>
  <c r="M103" i="2" s="1"/>
  <c r="L71" i="2"/>
  <c r="M71" i="2" s="1"/>
  <c r="L241" i="2"/>
  <c r="M241" i="2" s="1"/>
  <c r="L233" i="2"/>
  <c r="M233" i="2" s="1"/>
  <c r="L209" i="2"/>
  <c r="M209" i="2" s="1"/>
  <c r="L197" i="2"/>
  <c r="M197" i="2" s="1"/>
  <c r="L9" i="2"/>
  <c r="M9" i="2" s="1"/>
  <c r="L8" i="2"/>
  <c r="M8" i="2" s="1"/>
  <c r="L52" i="2"/>
  <c r="M52" i="2" s="1"/>
  <c r="L22" i="2"/>
  <c r="M22" i="2" s="1"/>
  <c r="L246" i="2"/>
  <c r="M246" i="2" s="1"/>
  <c r="L17" i="2"/>
  <c r="M17" i="2" s="1"/>
  <c r="L19" i="2"/>
  <c r="M19" i="2" s="1"/>
  <c r="L66" i="2"/>
  <c r="M66" i="2" s="1"/>
  <c r="L250" i="2"/>
  <c r="M250" i="2" s="1"/>
  <c r="L234" i="2"/>
  <c r="M234" i="2" s="1"/>
  <c r="L214" i="2"/>
  <c r="M214" i="2" s="1"/>
  <c r="L194" i="2"/>
  <c r="M194" i="2" s="1"/>
  <c r="L178" i="2"/>
  <c r="M178" i="2" s="1"/>
  <c r="L174" i="2"/>
  <c r="M174" i="2" s="1"/>
  <c r="L150" i="2"/>
  <c r="M150" i="2" s="1"/>
  <c r="L142" i="2"/>
  <c r="M142" i="2" s="1"/>
  <c r="L134" i="2"/>
  <c r="M134" i="2" s="1"/>
  <c r="L102" i="2"/>
  <c r="M102" i="2" s="1"/>
  <c r="L94" i="2"/>
  <c r="M94" i="2" s="1"/>
  <c r="L70" i="2"/>
  <c r="M70" i="2" s="1"/>
  <c r="L58" i="2"/>
  <c r="M58" i="2" s="1"/>
  <c r="L50" i="2"/>
  <c r="M50" i="2" s="1"/>
  <c r="L34" i="2"/>
  <c r="M34" i="2" s="1"/>
  <c r="L14" i="2"/>
  <c r="M14" i="2" s="1"/>
  <c r="L13" i="2"/>
  <c r="M13" i="2" s="1"/>
  <c r="L12" i="2"/>
  <c r="M12" i="2" s="1"/>
  <c r="L16" i="2"/>
  <c r="M16" i="2" s="1"/>
  <c r="L15" i="2"/>
  <c r="M15" i="2" s="1"/>
  <c r="L254" i="2"/>
  <c r="M254" i="2" s="1"/>
  <c r="L238" i="2"/>
  <c r="M238" i="2" s="1"/>
  <c r="L230" i="2"/>
  <c r="M230" i="2" s="1"/>
  <c r="L210" i="2"/>
  <c r="M210" i="2" s="1"/>
  <c r="L198" i="2"/>
  <c r="M198" i="2" s="1"/>
  <c r="L190" i="2"/>
  <c r="M190" i="2" s="1"/>
  <c r="L170" i="2"/>
  <c r="M170" i="2" s="1"/>
  <c r="L138" i="2"/>
  <c r="M138" i="2" s="1"/>
  <c r="L130" i="2"/>
  <c r="M130" i="2" s="1"/>
  <c r="L98" i="2"/>
  <c r="M98" i="2" s="1"/>
  <c r="L90" i="2"/>
  <c r="M90" i="2" s="1"/>
  <c r="L62" i="2"/>
  <c r="M62" i="2" s="1"/>
  <c r="L54" i="2"/>
  <c r="M54" i="2" s="1"/>
  <c r="L30" i="2"/>
  <c r="M30" i="2" s="1"/>
  <c r="L11" i="2"/>
  <c r="M11" i="2" s="1"/>
  <c r="L245" i="2"/>
  <c r="M245" i="2" s="1"/>
  <c r="L205" i="2"/>
  <c r="M205" i="2" s="1"/>
  <c r="L137" i="2"/>
  <c r="M137" i="2" s="1"/>
  <c r="L193" i="2"/>
  <c r="M193" i="2" s="1"/>
  <c r="L189" i="2"/>
  <c r="M189" i="2" s="1"/>
  <c r="L169" i="2"/>
  <c r="M169" i="2" s="1"/>
  <c r="L165" i="2"/>
  <c r="M165" i="2" s="1"/>
  <c r="L161" i="2"/>
  <c r="M161" i="2" s="1"/>
  <c r="L157" i="2"/>
  <c r="M157" i="2" s="1"/>
  <c r="L153" i="2"/>
  <c r="M153" i="2" s="1"/>
  <c r="L149" i="2"/>
  <c r="M149" i="2" s="1"/>
  <c r="L133" i="2"/>
  <c r="M133" i="2" s="1"/>
  <c r="L129" i="2"/>
  <c r="M129" i="2" s="1"/>
  <c r="L121" i="2"/>
  <c r="M121" i="2" s="1"/>
  <c r="L117" i="2"/>
  <c r="M117" i="2" s="1"/>
  <c r="L113" i="2"/>
  <c r="M113" i="2" s="1"/>
  <c r="L109" i="2"/>
  <c r="M109" i="2" s="1"/>
  <c r="L97" i="2"/>
  <c r="M97" i="2" s="1"/>
  <c r="L93" i="2"/>
  <c r="M93" i="2" s="1"/>
  <c r="L89" i="2"/>
  <c r="M89" i="2" s="1"/>
  <c r="L73" i="2"/>
  <c r="M73" i="2" s="1"/>
  <c r="L69" i="2"/>
  <c r="M69" i="2" s="1"/>
  <c r="L57" i="2"/>
  <c r="M57" i="2" s="1"/>
  <c r="L53" i="2"/>
  <c r="M53" i="2" s="1"/>
  <c r="L49" i="2"/>
  <c r="M49" i="2" s="1"/>
  <c r="L29" i="2"/>
  <c r="M29" i="2" s="1"/>
  <c r="L187" i="2"/>
  <c r="M187" i="2" s="1"/>
  <c r="L27" i="2"/>
  <c r="M27" i="2" s="1"/>
  <c r="L227" i="2"/>
  <c r="M227" i="2" s="1"/>
  <c r="L127" i="2"/>
  <c r="M127" i="2" s="1"/>
  <c r="L87" i="2"/>
  <c r="M87" i="2" s="1"/>
  <c r="L226" i="2"/>
  <c r="M226" i="2" s="1"/>
  <c r="L207" i="2"/>
  <c r="M207" i="2" s="1"/>
  <c r="L107" i="2"/>
  <c r="M107" i="2" s="1"/>
  <c r="L67" i="2"/>
  <c r="M67" i="2" s="1"/>
  <c r="L206" i="2"/>
  <c r="M206" i="2" s="1"/>
  <c r="L247" i="2"/>
  <c r="M247" i="2" s="1"/>
  <c r="L167" i="2"/>
  <c r="M167" i="2" s="1"/>
  <c r="L47" i="2"/>
  <c r="M47" i="2" s="1"/>
  <c r="L146" i="2"/>
  <c r="M146" i="2" s="1"/>
  <c r="L106" i="2"/>
  <c r="M106" i="2" s="1"/>
  <c r="L185" i="2"/>
  <c r="M185" i="2" s="1"/>
  <c r="L45" i="2"/>
  <c r="M45" i="2" s="1"/>
  <c r="L86" i="2"/>
  <c r="M86" i="2" s="1"/>
  <c r="L125" i="2"/>
  <c r="M125" i="2" s="1"/>
  <c r="L85" i="2"/>
  <c r="M85" i="2" s="1"/>
  <c r="L244" i="2"/>
  <c r="M244" i="2" s="1"/>
  <c r="L26" i="2"/>
  <c r="M26" i="2" s="1"/>
  <c r="L225" i="2"/>
  <c r="M225" i="2" s="1"/>
  <c r="L105" i="2"/>
  <c r="M105" i="2" s="1"/>
  <c r="L25" i="2"/>
  <c r="M25" i="2" s="1"/>
  <c r="L224" i="2"/>
  <c r="M224" i="2" s="1"/>
  <c r="L164" i="2"/>
  <c r="M164" i="2" s="1"/>
  <c r="L64" i="2"/>
  <c r="M64" i="2" s="1"/>
  <c r="L243" i="2"/>
  <c r="M243" i="2" s="1"/>
  <c r="L124" i="2"/>
  <c r="M124" i="2" s="1"/>
  <c r="L123" i="2"/>
  <c r="M123" i="2" s="1"/>
  <c r="L46" i="2"/>
  <c r="M46" i="2" s="1"/>
  <c r="L145" i="2"/>
  <c r="M145" i="2" s="1"/>
  <c r="L65" i="2"/>
  <c r="M65" i="2" s="1"/>
  <c r="L204" i="2"/>
  <c r="M204" i="2" s="1"/>
  <c r="L104" i="2"/>
  <c r="M104" i="2" s="1"/>
  <c r="L163" i="2"/>
  <c r="M163" i="2" s="1"/>
  <c r="L83" i="2"/>
  <c r="M83" i="2" s="1"/>
  <c r="L242" i="2"/>
  <c r="M242" i="2" s="1"/>
  <c r="L24" i="2"/>
  <c r="M24" i="2" s="1"/>
  <c r="L203" i="2"/>
  <c r="M203" i="2" s="1"/>
  <c r="L63" i="2"/>
  <c r="M63" i="2" s="1"/>
  <c r="L222" i="2"/>
  <c r="M222" i="2" s="1"/>
  <c r="L82" i="2"/>
  <c r="M82" i="2" s="1"/>
  <c r="L181" i="2"/>
  <c r="M181" i="2" s="1"/>
  <c r="L81" i="2"/>
  <c r="M81" i="2" s="1"/>
  <c r="L180" i="2"/>
  <c r="M180" i="2" s="1"/>
  <c r="L159" i="2"/>
  <c r="M159" i="2" s="1"/>
  <c r="L78" i="2"/>
  <c r="M78" i="2" s="1"/>
  <c r="L217" i="2"/>
  <c r="M217" i="2" s="1"/>
  <c r="L176" i="2"/>
  <c r="M176" i="2" s="1"/>
  <c r="L55" i="2"/>
  <c r="M55" i="2" s="1"/>
  <c r="L74" i="2"/>
  <c r="M74" i="2" s="1"/>
  <c r="L213" i="2"/>
  <c r="M213" i="2" s="1"/>
  <c r="L231" i="2"/>
  <c r="M231" i="2" s="1"/>
  <c r="L191" i="2"/>
  <c r="M191" i="2" s="1"/>
  <c r="L122" i="2"/>
  <c r="M122" i="2" s="1"/>
  <c r="L221" i="2"/>
  <c r="M221" i="2" s="1"/>
  <c r="L21" i="2"/>
  <c r="M21" i="2" s="1"/>
  <c r="L200" i="2"/>
  <c r="M200" i="2" s="1"/>
  <c r="L140" i="2"/>
  <c r="M140" i="2" s="1"/>
  <c r="L239" i="2"/>
  <c r="M239" i="2" s="1"/>
  <c r="L119" i="2"/>
  <c r="M119" i="2" s="1"/>
  <c r="L158" i="2"/>
  <c r="M158" i="2" s="1"/>
  <c r="L77" i="2"/>
  <c r="M77" i="2" s="1"/>
  <c r="L96" i="2"/>
  <c r="M96" i="2" s="1"/>
  <c r="L235" i="2"/>
  <c r="M235" i="2" s="1"/>
  <c r="L215" i="2"/>
  <c r="M215" i="2" s="1"/>
  <c r="L75" i="2"/>
  <c r="M75" i="2" s="1"/>
  <c r="L154" i="2"/>
  <c r="M154" i="2" s="1"/>
  <c r="L253" i="2"/>
  <c r="M253" i="2" s="1"/>
  <c r="L92" i="2"/>
  <c r="M92" i="2" s="1"/>
  <c r="L110" i="2"/>
  <c r="M110" i="2" s="1"/>
  <c r="L42" i="2"/>
  <c r="M42" i="2" s="1"/>
  <c r="L141" i="2"/>
  <c r="M141" i="2" s="1"/>
  <c r="L61" i="2"/>
  <c r="M61" i="2" s="1"/>
  <c r="L240" i="2"/>
  <c r="M240" i="2" s="1"/>
  <c r="L220" i="2"/>
  <c r="M220" i="2" s="1"/>
  <c r="L100" i="2"/>
  <c r="M100" i="2" s="1"/>
  <c r="L59" i="2"/>
  <c r="M59" i="2" s="1"/>
  <c r="L118" i="2"/>
  <c r="M118" i="2" s="1"/>
  <c r="L18" i="2"/>
  <c r="M18" i="2" s="1"/>
  <c r="L177" i="2"/>
  <c r="M177" i="2" s="1"/>
  <c r="L56" i="2"/>
  <c r="M56" i="2" s="1"/>
  <c r="L155" i="2"/>
  <c r="M155" i="2" s="1"/>
  <c r="L35" i="2"/>
  <c r="M35" i="2" s="1"/>
  <c r="L173" i="2"/>
  <c r="M173" i="2" s="1"/>
  <c r="L202" i="2"/>
  <c r="M202" i="2" s="1"/>
  <c r="L162" i="2"/>
  <c r="M162" i="2" s="1"/>
  <c r="L101" i="2"/>
  <c r="M101" i="2" s="1"/>
  <c r="L41" i="2"/>
  <c r="M41" i="2" s="1"/>
  <c r="L60" i="2"/>
  <c r="M60" i="2" s="1"/>
  <c r="L199" i="2"/>
  <c r="M199" i="2" s="1"/>
  <c r="L218" i="2"/>
  <c r="M218" i="2" s="1"/>
  <c r="L38" i="2"/>
  <c r="M38" i="2" s="1"/>
  <c r="L7" i="2"/>
  <c r="M7" i="2" s="1"/>
  <c r="L37" i="2"/>
  <c r="M37" i="2" s="1"/>
  <c r="L136" i="2"/>
  <c r="M136" i="2" s="1"/>
  <c r="L195" i="2"/>
  <c r="M195" i="2" s="1"/>
  <c r="L175" i="2"/>
  <c r="M175" i="2" s="1"/>
  <c r="L95" i="2"/>
  <c r="M95" i="2" s="1"/>
  <c r="L114" i="2"/>
  <c r="M114" i="2" s="1"/>
  <c r="I25" i="1" l="1"/>
  <c r="L20" i="1"/>
  <c r="I16" i="1"/>
  <c r="H12" i="1"/>
  <c r="M7" i="1"/>
  <c r="F25" i="1"/>
  <c r="F16" i="1"/>
  <c r="D13" i="1"/>
  <c r="M11" i="1"/>
  <c r="C7" i="1"/>
  <c r="M15" i="1"/>
  <c r="I19" i="1"/>
  <c r="G7" i="1"/>
  <c r="J24" i="1"/>
  <c r="J11" i="1"/>
  <c r="L18" i="1"/>
  <c r="I11" i="1"/>
  <c r="G14" i="1"/>
  <c r="F14" i="1"/>
  <c r="E14" i="1"/>
  <c r="M13" i="1"/>
  <c r="G18" i="1"/>
  <c r="H5" i="1"/>
  <c r="K13" i="1"/>
  <c r="I13" i="1"/>
  <c r="M12" i="1"/>
  <c r="L12" i="1"/>
  <c r="J22" i="1"/>
  <c r="J25" i="1"/>
  <c r="I12" i="1"/>
  <c r="H25" i="1"/>
  <c r="K20" i="1"/>
  <c r="H16" i="1"/>
  <c r="G12" i="1"/>
  <c r="L7" i="1"/>
  <c r="C20" i="1"/>
  <c r="J7" i="1"/>
  <c r="H20" i="1"/>
  <c r="I7" i="1"/>
  <c r="J19" i="1"/>
  <c r="H7" i="1"/>
  <c r="L24" i="1"/>
  <c r="K11" i="1"/>
  <c r="M18" i="1"/>
  <c r="F7" i="1"/>
  <c r="M23" i="1"/>
  <c r="E7" i="1"/>
  <c r="J23" i="1"/>
  <c r="J10" i="1"/>
  <c r="I23" i="1"/>
  <c r="M9" i="1"/>
  <c r="H23" i="1"/>
  <c r="L9" i="1"/>
  <c r="G23" i="1"/>
  <c r="K9" i="1"/>
  <c r="L13" i="1"/>
  <c r="E23" i="1"/>
  <c r="I9" i="1"/>
  <c r="M22" i="1"/>
  <c r="H9" i="1"/>
  <c r="L22" i="1"/>
  <c r="G9" i="1"/>
  <c r="K22" i="1"/>
  <c r="J8" i="1"/>
  <c r="K16" i="1"/>
  <c r="J12" i="1"/>
  <c r="M20" i="1"/>
  <c r="H8" i="1"/>
  <c r="G25" i="1"/>
  <c r="J20" i="1"/>
  <c r="G16" i="1"/>
  <c r="F12" i="1"/>
  <c r="K7" i="1"/>
  <c r="I20" i="1"/>
  <c r="E12" i="1"/>
  <c r="E25" i="1"/>
  <c r="E16" i="1"/>
  <c r="M24" i="1"/>
  <c r="L11" i="1"/>
  <c r="B7" i="1"/>
  <c r="J14" i="1"/>
  <c r="I14" i="1"/>
  <c r="H14" i="1"/>
  <c r="K18" i="1"/>
  <c r="L5" i="1"/>
  <c r="J18" i="1"/>
  <c r="K5" i="1"/>
  <c r="I18" i="1"/>
  <c r="J5" i="1"/>
  <c r="H18" i="1"/>
  <c r="I5" i="1"/>
  <c r="F23" i="1"/>
  <c r="J9" i="1"/>
  <c r="F18" i="1"/>
  <c r="G5" i="1"/>
  <c r="J17" i="1"/>
  <c r="F5" i="1"/>
  <c r="M16" i="1"/>
  <c r="E5" i="1"/>
  <c r="L16" i="1"/>
  <c r="I8" i="1"/>
  <c r="J16" i="1"/>
  <c r="B20" i="1"/>
  <c r="B16" i="1"/>
  <c r="C17" i="1"/>
  <c r="C23" i="1"/>
  <c r="M5" i="1"/>
  <c r="K21" i="1"/>
  <c r="L19" i="1"/>
  <c r="J15" i="1"/>
  <c r="M6" i="1"/>
  <c r="F8" i="1"/>
  <c r="L17" i="1"/>
  <c r="J13" i="1"/>
  <c r="D24" i="1"/>
  <c r="B11" i="1"/>
  <c r="C24" i="1"/>
  <c r="H10" i="1"/>
  <c r="F15" i="1"/>
  <c r="J6" i="1"/>
  <c r="E20" i="1"/>
  <c r="K24" i="1"/>
  <c r="C18" i="1"/>
  <c r="D17" i="1"/>
  <c r="B18" i="1"/>
  <c r="L14" i="1"/>
  <c r="H17" i="1"/>
  <c r="L8" i="1"/>
  <c r="G22" i="1"/>
  <c r="M26" i="1"/>
  <c r="D18" i="1"/>
  <c r="C11" i="1"/>
  <c r="D11" i="1"/>
  <c r="E17" i="1"/>
  <c r="L21" i="1"/>
  <c r="E11" i="1"/>
  <c r="I24" i="1"/>
  <c r="C13" i="1"/>
  <c r="D5" i="1"/>
  <c r="B12" i="1"/>
  <c r="G19" i="1"/>
  <c r="G26" i="1"/>
  <c r="G13" i="1"/>
  <c r="K26" i="1"/>
  <c r="D26" i="1"/>
  <c r="C19" i="1"/>
  <c r="B25" i="1"/>
  <c r="C12" i="1"/>
  <c r="I21" i="1"/>
  <c r="H6" i="1"/>
  <c r="I15" i="1"/>
  <c r="E21" i="1"/>
  <c r="E18" i="1"/>
  <c r="B26" i="1"/>
  <c r="C5" i="1"/>
  <c r="D25" i="1"/>
  <c r="K23" i="1"/>
  <c r="L10" i="1"/>
  <c r="K17" i="1"/>
  <c r="E10" i="1"/>
  <c r="F9" i="1"/>
  <c r="D7" i="1"/>
  <c r="C25" i="1"/>
  <c r="B6" i="1"/>
  <c r="M25" i="1"/>
  <c r="E13" i="1"/>
  <c r="M19" i="1"/>
  <c r="F6" i="1"/>
  <c r="G20" i="1"/>
  <c r="C14" i="1"/>
  <c r="B19" i="1"/>
  <c r="D6" i="1"/>
  <c r="E6" i="1"/>
  <c r="G15" i="1"/>
  <c r="F22" i="1"/>
  <c r="E15" i="1"/>
  <c r="H11" i="1"/>
  <c r="B21" i="1"/>
  <c r="D12" i="1"/>
  <c r="F21" i="1"/>
  <c r="G8" i="1"/>
  <c r="I17" i="1"/>
  <c r="H24" i="1"/>
  <c r="G17" i="1"/>
  <c r="L15" i="1"/>
  <c r="B8" i="1"/>
  <c r="I22" i="1"/>
  <c r="D9" i="1"/>
  <c r="B24" i="1"/>
  <c r="C10" i="1"/>
  <c r="F26" i="1"/>
  <c r="I26" i="1"/>
  <c r="B9" i="1"/>
  <c r="D21" i="1"/>
  <c r="L23" i="1"/>
  <c r="H13" i="1"/>
  <c r="K6" i="1"/>
  <c r="H19" i="1"/>
  <c r="M8" i="1"/>
  <c r="C26" i="1"/>
  <c r="F11" i="1"/>
  <c r="C9" i="1"/>
  <c r="C15" i="1"/>
  <c r="E26" i="1"/>
  <c r="K10" i="1"/>
  <c r="F10" i="1"/>
  <c r="L6" i="1"/>
  <c r="D23" i="1"/>
  <c r="B23" i="1"/>
  <c r="K19" i="1"/>
  <c r="E9" i="1"/>
  <c r="B14" i="1"/>
  <c r="B10" i="1"/>
  <c r="M21" i="1"/>
  <c r="G11" i="1"/>
  <c r="D14" i="1"/>
  <c r="E19" i="1"/>
  <c r="F24" i="1"/>
  <c r="K15" i="1"/>
  <c r="B15" i="1"/>
  <c r="G21" i="1"/>
  <c r="H26" i="1"/>
  <c r="M17" i="1"/>
  <c r="D8" i="1"/>
  <c r="K25" i="1"/>
  <c r="I6" i="1"/>
  <c r="F20" i="1"/>
  <c r="C21" i="1"/>
  <c r="E8" i="1"/>
  <c r="K8" i="1"/>
  <c r="H22" i="1"/>
  <c r="C8" i="1"/>
  <c r="M10" i="1"/>
  <c r="L26" i="1"/>
  <c r="B22" i="1"/>
  <c r="K14" i="1"/>
  <c r="F13" i="1"/>
  <c r="D15" i="1"/>
  <c r="F19" i="1"/>
  <c r="H15" i="1"/>
  <c r="D22" i="1"/>
  <c r="H21" i="1"/>
  <c r="I10" i="1"/>
  <c r="E24" i="1"/>
  <c r="D10" i="1"/>
  <c r="K12" i="1"/>
  <c r="E22" i="1"/>
  <c r="C6" i="1"/>
  <c r="M14" i="1"/>
  <c r="G24" i="1"/>
  <c r="B13" i="1"/>
  <c r="F17" i="1"/>
  <c r="D19" i="1"/>
  <c r="J21" i="1"/>
  <c r="C16" i="1"/>
  <c r="C22" i="1"/>
  <c r="G10" i="1"/>
  <c r="J26" i="1"/>
  <c r="D16" i="1"/>
  <c r="L25" i="1"/>
  <c r="G6" i="1"/>
  <c r="B17" i="1"/>
  <c r="C3" i="3"/>
  <c r="C9" i="3"/>
  <c r="F5" i="3"/>
  <c r="F4" i="3"/>
  <c r="C7" i="3"/>
  <c r="E5" i="3"/>
  <c r="D5" i="3"/>
  <c r="C21" i="3"/>
  <c r="C5" i="3"/>
  <c r="D41" i="3"/>
  <c r="B8" i="3"/>
  <c r="D3" i="3"/>
  <c r="C8" i="3"/>
  <c r="B4" i="3"/>
  <c r="B6" i="3"/>
  <c r="J3" i="3"/>
  <c r="K19" i="3"/>
  <c r="B16" i="3"/>
  <c r="C42" i="3"/>
  <c r="J14" i="3"/>
  <c r="M11" i="3"/>
  <c r="D20" i="3"/>
  <c r="J40" i="3"/>
  <c r="G32" i="3"/>
  <c r="K27" i="3"/>
  <c r="J16" i="3"/>
  <c r="E30" i="3"/>
  <c r="H29" i="3"/>
  <c r="K5" i="3"/>
  <c r="G40" i="3"/>
  <c r="H17" i="3"/>
  <c r="K44" i="3"/>
  <c r="H32" i="3"/>
  <c r="K8" i="3"/>
  <c r="C27" i="3"/>
  <c r="H38" i="3"/>
  <c r="J26" i="3"/>
  <c r="F41" i="3"/>
  <c r="G36" i="3"/>
  <c r="J13" i="3"/>
  <c r="D10" i="3"/>
  <c r="C35" i="3"/>
  <c r="C26" i="3"/>
  <c r="F31" i="3"/>
  <c r="C38" i="3"/>
  <c r="K40" i="3"/>
  <c r="I13" i="3"/>
  <c r="F7" i="3"/>
  <c r="B44" i="3"/>
  <c r="D18" i="3"/>
  <c r="D43" i="3"/>
  <c r="E11" i="3"/>
  <c r="E34" i="3"/>
  <c r="M44" i="3"/>
  <c r="M20" i="3"/>
  <c r="E35" i="3"/>
  <c r="F32" i="3"/>
  <c r="K35" i="3"/>
  <c r="H16" i="3"/>
  <c r="F33" i="3"/>
  <c r="D29" i="3"/>
  <c r="F11" i="3"/>
  <c r="L37" i="3"/>
  <c r="L7" i="3"/>
  <c r="L43" i="3"/>
  <c r="B33" i="3"/>
  <c r="J17" i="3"/>
  <c r="K42" i="3"/>
  <c r="J37" i="3"/>
  <c r="F15" i="3"/>
  <c r="D8" i="3"/>
  <c r="B39" i="3"/>
  <c r="L44" i="3"/>
  <c r="K33" i="3"/>
  <c r="G21" i="3"/>
  <c r="F30" i="3"/>
  <c r="B40" i="3"/>
  <c r="G28" i="3"/>
  <c r="L31" i="3"/>
  <c r="K36" i="3"/>
  <c r="H40" i="3"/>
  <c r="M45" i="3"/>
  <c r="C16" i="3"/>
  <c r="K39" i="3"/>
  <c r="G26" i="3"/>
  <c r="K17" i="3"/>
  <c r="I8" i="3"/>
  <c r="K7" i="3"/>
  <c r="M12" i="3"/>
  <c r="D42" i="3"/>
  <c r="I35" i="3"/>
  <c r="L17" i="3"/>
  <c r="F19" i="3"/>
  <c r="K38" i="3"/>
  <c r="M26" i="3"/>
  <c r="I4" i="3"/>
  <c r="E15" i="3"/>
  <c r="J41" i="3"/>
  <c r="B18" i="3"/>
  <c r="K43" i="3"/>
  <c r="M9" i="3"/>
  <c r="C13" i="3"/>
  <c r="B10" i="3"/>
  <c r="M38" i="3"/>
  <c r="I45" i="3"/>
  <c r="C31" i="3"/>
  <c r="H30" i="3"/>
  <c r="M4" i="3"/>
  <c r="C22" i="3"/>
  <c r="L14" i="3"/>
  <c r="G41" i="3"/>
  <c r="H33" i="3"/>
  <c r="E27" i="3"/>
  <c r="J5" i="3"/>
  <c r="E9" i="3"/>
  <c r="D15" i="3"/>
  <c r="B17" i="3"/>
  <c r="F28" i="3"/>
  <c r="E37" i="3"/>
  <c r="K13" i="3"/>
  <c r="E29" i="3"/>
  <c r="C43" i="3"/>
  <c r="J21" i="3"/>
  <c r="J18" i="3"/>
  <c r="D19" i="3"/>
  <c r="C37" i="3"/>
  <c r="E38" i="3"/>
  <c r="M14" i="3"/>
  <c r="D14" i="3"/>
  <c r="G34" i="3"/>
  <c r="I15" i="3"/>
  <c r="H22" i="3"/>
  <c r="L45" i="3"/>
  <c r="D16" i="3"/>
  <c r="B22" i="3"/>
  <c r="I30" i="3"/>
  <c r="B20" i="3"/>
  <c r="M8" i="3"/>
  <c r="M27" i="3"/>
  <c r="M30" i="3"/>
  <c r="I37" i="3"/>
  <c r="D45" i="3"/>
  <c r="G10" i="3"/>
  <c r="E39" i="3"/>
  <c r="C15" i="3"/>
  <c r="M13" i="3"/>
  <c r="F12" i="3"/>
  <c r="E14" i="3"/>
  <c r="M43" i="3"/>
  <c r="J39" i="3"/>
  <c r="L30" i="3"/>
  <c r="J10" i="3"/>
  <c r="I32" i="3"/>
  <c r="E12" i="3"/>
  <c r="M7" i="3"/>
  <c r="I6" i="3"/>
  <c r="E42" i="3"/>
  <c r="I7" i="3"/>
  <c r="K41" i="3"/>
  <c r="M32" i="3"/>
  <c r="B41" i="3"/>
  <c r="B45" i="3"/>
  <c r="H3" i="3"/>
  <c r="K14" i="3"/>
  <c r="I10" i="3"/>
  <c r="M5" i="3"/>
  <c r="I14" i="3"/>
  <c r="K29" i="3"/>
  <c r="J34" i="3"/>
  <c r="J28" i="3"/>
  <c r="H35" i="3"/>
  <c r="J36" i="3"/>
  <c r="L11" i="3"/>
  <c r="H14" i="3"/>
  <c r="D17" i="3"/>
  <c r="K12" i="3"/>
  <c r="D44" i="3"/>
  <c r="B35" i="3"/>
  <c r="M31" i="3"/>
  <c r="L39" i="3"/>
  <c r="J30" i="3"/>
  <c r="H42" i="3"/>
  <c r="L41" i="3"/>
  <c r="B27" i="3"/>
  <c r="E31" i="3"/>
  <c r="I29" i="3"/>
  <c r="F29" i="3"/>
  <c r="C6" i="3"/>
  <c r="I5" i="3"/>
  <c r="G3" i="3"/>
  <c r="C19" i="3"/>
  <c r="B29" i="3"/>
  <c r="L36" i="3"/>
  <c r="B7" i="3"/>
  <c r="B15" i="3"/>
  <c r="K30" i="3"/>
  <c r="K32" i="3"/>
  <c r="J44" i="3"/>
  <c r="G44" i="3"/>
  <c r="E21" i="3"/>
  <c r="I20" i="3"/>
  <c r="G20" i="3"/>
  <c r="J22" i="3"/>
  <c r="E16" i="3"/>
  <c r="C32" i="3"/>
  <c r="D35" i="3"/>
  <c r="D39" i="3"/>
  <c r="J7" i="3"/>
  <c r="M34" i="3"/>
  <c r="L12" i="3"/>
  <c r="E7" i="3"/>
  <c r="L5" i="3"/>
  <c r="B34" i="3"/>
  <c r="I38" i="3"/>
  <c r="B32" i="3"/>
  <c r="B36" i="3"/>
  <c r="H28" i="3"/>
  <c r="K16" i="3"/>
  <c r="K20" i="3"/>
  <c r="E20" i="3"/>
  <c r="K3" i="3"/>
  <c r="F42" i="3"/>
  <c r="D33" i="3"/>
  <c r="G12" i="3"/>
  <c r="L38" i="3"/>
  <c r="M41" i="3"/>
  <c r="F8" i="3"/>
  <c r="M3" i="3"/>
  <c r="F16" i="3"/>
  <c r="I12" i="3"/>
  <c r="K10" i="3"/>
  <c r="I40" i="3"/>
  <c r="G31" i="3"/>
  <c r="M35" i="3"/>
  <c r="B43" i="3"/>
  <c r="L32" i="3"/>
  <c r="H44" i="3"/>
  <c r="J4" i="3"/>
  <c r="H11" i="3"/>
  <c r="F10" i="3"/>
  <c r="L19" i="3"/>
  <c r="H10" i="3"/>
  <c r="K18" i="3"/>
  <c r="F14" i="3"/>
  <c r="J20" i="3"/>
  <c r="C10" i="3"/>
  <c r="E6" i="3"/>
  <c r="K4" i="3"/>
  <c r="C30" i="3"/>
  <c r="J38" i="3"/>
  <c r="E33" i="3"/>
  <c r="J29" i="3"/>
  <c r="J27" i="3"/>
  <c r="H18" i="3"/>
  <c r="I27" i="3"/>
  <c r="G38" i="3"/>
  <c r="G35" i="3"/>
  <c r="G6" i="3"/>
  <c r="G37" i="3"/>
  <c r="D11" i="3"/>
  <c r="J6" i="3"/>
  <c r="E41" i="3"/>
  <c r="D34" i="3"/>
  <c r="B9" i="3"/>
  <c r="H36" i="3"/>
  <c r="L8" i="3"/>
  <c r="G15" i="3"/>
  <c r="K9" i="3"/>
  <c r="L9" i="3"/>
  <c r="D7" i="3"/>
  <c r="E19" i="3"/>
  <c r="K22" i="3"/>
  <c r="G42" i="3"/>
  <c r="M36" i="3"/>
  <c r="H31" i="3"/>
  <c r="L27" i="3"/>
  <c r="H4" i="3"/>
  <c r="K34" i="3"/>
  <c r="K31" i="3"/>
  <c r="F13" i="3"/>
  <c r="H37" i="3"/>
  <c r="B12" i="3"/>
  <c r="I39" i="3"/>
  <c r="I21" i="3"/>
  <c r="J12" i="3"/>
  <c r="B38" i="3"/>
  <c r="D21" i="3"/>
  <c r="B26" i="3"/>
  <c r="L40" i="3"/>
  <c r="B3" i="3"/>
  <c r="L16" i="3"/>
  <c r="I18" i="3"/>
  <c r="J9" i="3"/>
  <c r="M17" i="3"/>
  <c r="D12" i="3"/>
  <c r="G19" i="3"/>
  <c r="M22" i="3"/>
  <c r="F35" i="3"/>
  <c r="L29" i="3"/>
  <c r="M18" i="3"/>
  <c r="D9" i="3"/>
  <c r="H27" i="3"/>
  <c r="I34" i="3"/>
  <c r="F39" i="3"/>
  <c r="F34" i="3"/>
  <c r="D6" i="3"/>
  <c r="C33" i="3"/>
  <c r="B31" i="3"/>
  <c r="L34" i="3"/>
  <c r="M28" i="3"/>
  <c r="F38" i="3"/>
  <c r="D30" i="3"/>
  <c r="H8" i="3"/>
  <c r="H45" i="3"/>
  <c r="K21" i="3"/>
  <c r="M16" i="3"/>
  <c r="L15" i="3"/>
  <c r="M15" i="3"/>
  <c r="I9" i="3"/>
  <c r="G8" i="3"/>
  <c r="C40" i="3"/>
  <c r="G33" i="3"/>
  <c r="B28" i="3"/>
  <c r="L18" i="3"/>
  <c r="L4" i="3"/>
  <c r="L42" i="3"/>
  <c r="E3" i="3"/>
  <c r="C36" i="3"/>
  <c r="G30" i="3"/>
  <c r="G11" i="3"/>
  <c r="J35" i="3"/>
  <c r="H6" i="3"/>
  <c r="F37" i="3"/>
  <c r="D31" i="3"/>
  <c r="H34" i="3"/>
  <c r="B21" i="3"/>
  <c r="H19" i="3"/>
  <c r="G45" i="3"/>
  <c r="M6" i="3"/>
  <c r="M21" i="3"/>
  <c r="J11" i="3"/>
  <c r="I22" i="3"/>
  <c r="C20" i="3"/>
  <c r="G9" i="3"/>
  <c r="M10" i="3"/>
  <c r="B37" i="3"/>
  <c r="I31" i="3"/>
  <c r="D26" i="3"/>
  <c r="G13" i="3"/>
  <c r="M42" i="3"/>
  <c r="F3" i="3"/>
  <c r="E43" i="3"/>
  <c r="D38" i="3"/>
  <c r="F44" i="3"/>
  <c r="K28" i="3"/>
  <c r="F17" i="3"/>
  <c r="J32" i="3"/>
  <c r="L26" i="3"/>
  <c r="B11" i="3"/>
  <c r="M33" i="3"/>
  <c r="E8" i="3"/>
  <c r="I36" i="3"/>
  <c r="K6" i="3"/>
  <c r="I3" i="3"/>
  <c r="L22" i="3"/>
  <c r="C18" i="3"/>
  <c r="G4" i="3"/>
  <c r="G22" i="3"/>
  <c r="C45" i="3"/>
  <c r="J31" i="3"/>
  <c r="E26" i="3"/>
  <c r="E18" i="3"/>
  <c r="K15" i="3"/>
  <c r="G27" i="3"/>
  <c r="F43" i="3"/>
  <c r="D32" i="3"/>
  <c r="D27" i="3"/>
  <c r="D22" i="3"/>
  <c r="K37" i="3"/>
  <c r="H12" i="3"/>
  <c r="H39" i="3"/>
  <c r="I33" i="3"/>
  <c r="F27" i="3"/>
  <c r="E45" i="3"/>
  <c r="G29" i="3"/>
  <c r="F45" i="3"/>
  <c r="H15" i="3"/>
  <c r="L21" i="3"/>
  <c r="L20" i="3"/>
  <c r="C17" i="3"/>
  <c r="C12" i="3"/>
  <c r="I19" i="3"/>
  <c r="C44" i="3"/>
  <c r="M29" i="3"/>
  <c r="J8" i="3"/>
  <c r="H13" i="3"/>
  <c r="E44" i="3"/>
  <c r="D13" i="3"/>
  <c r="G39" i="3"/>
  <c r="D28" i="3"/>
  <c r="F21" i="3"/>
  <c r="F6" i="3"/>
  <c r="M39" i="3"/>
  <c r="I17" i="3"/>
  <c r="I41" i="3"/>
  <c r="L35" i="3"/>
  <c r="H21" i="3"/>
  <c r="C41" i="3"/>
  <c r="J19" i="3"/>
  <c r="L10" i="3"/>
  <c r="L13" i="3"/>
  <c r="L6" i="3"/>
  <c r="G18" i="3"/>
  <c r="E10" i="3"/>
  <c r="E4" i="3"/>
  <c r="I11" i="3"/>
  <c r="C39" i="3"/>
  <c r="C28" i="3"/>
  <c r="B19" i="3"/>
  <c r="F9" i="3"/>
  <c r="H43" i="3"/>
  <c r="G43" i="3"/>
  <c r="D36" i="3"/>
  <c r="F18" i="3"/>
  <c r="B13" i="3"/>
  <c r="G17" i="3"/>
  <c r="B42" i="3"/>
  <c r="E22" i="3"/>
  <c r="J43" i="3"/>
  <c r="M37" i="3"/>
  <c r="E13" i="3"/>
  <c r="D37" i="3"/>
  <c r="J33" i="3"/>
  <c r="G5" i="3"/>
  <c r="H5" i="3"/>
  <c r="K11" i="3"/>
  <c r="G16" i="3"/>
  <c r="G7" i="3"/>
  <c r="D4" i="3"/>
  <c r="C11" i="3"/>
  <c r="C34" i="3"/>
  <c r="F26" i="3"/>
  <c r="B14" i="3"/>
  <c r="B5" i="3"/>
  <c r="F40" i="3"/>
  <c r="E40" i="3"/>
  <c r="E32" i="3"/>
  <c r="J15" i="3"/>
  <c r="H41" i="3"/>
  <c r="F22" i="3"/>
  <c r="I44" i="3"/>
  <c r="K26" i="3"/>
  <c r="H26" i="3"/>
  <c r="D40" i="3"/>
  <c r="J45" i="3"/>
  <c r="L33" i="3"/>
  <c r="M40" i="3"/>
  <c r="E17" i="3"/>
  <c r="L3" i="3"/>
  <c r="M19" i="3"/>
  <c r="G14" i="3"/>
  <c r="F20" i="3"/>
  <c r="C4" i="3"/>
  <c r="C14" i="3"/>
  <c r="C29" i="3"/>
  <c r="H20" i="3"/>
  <c r="H9" i="3"/>
  <c r="K45" i="3"/>
  <c r="F36" i="3"/>
  <c r="E36" i="3"/>
  <c r="E28" i="3"/>
  <c r="H7" i="3"/>
  <c r="I43" i="3"/>
  <c r="I26" i="3"/>
  <c r="I16" i="3"/>
  <c r="L28" i="3"/>
  <c r="I28" i="3"/>
  <c r="I42" i="3"/>
  <c r="J42" i="3"/>
  <c r="B30" i="3"/>
  <c r="D20" i="1" l="1"/>
  <c r="B5" i="1"/>
  <c r="D7" i="2" l="1"/>
  <c r="N26" i="1" l="1"/>
  <c r="N6" i="1"/>
  <c r="N9" i="1"/>
  <c r="N18" i="1"/>
  <c r="N21" i="1"/>
  <c r="N24" i="1"/>
  <c r="N7" i="1"/>
  <c r="N10" i="1"/>
  <c r="N12" i="1"/>
  <c r="N15" i="1"/>
  <c r="N17" i="1"/>
  <c r="N25" i="1"/>
  <c r="N14" i="1"/>
  <c r="N5" i="1"/>
  <c r="N23" i="1"/>
  <c r="N20" i="1"/>
  <c r="N22" i="1"/>
  <c r="N11" i="1"/>
  <c r="N19" i="1"/>
  <c r="N8" i="1"/>
  <c r="N16" i="1"/>
  <c r="N13" i="1"/>
</calcChain>
</file>

<file path=xl/sharedStrings.xml><?xml version="1.0" encoding="utf-8"?>
<sst xmlns="http://schemas.openxmlformats.org/spreadsheetml/2006/main" count="98" uniqueCount="80">
  <si>
    <t>研究室</t>
    <rPh sb="0" eb="3">
      <t>ケンキュウシツ</t>
    </rPh>
    <phoneticPr fontId="2"/>
  </si>
  <si>
    <t>B枠</t>
    <rPh sb="1" eb="2">
      <t>ワク</t>
    </rPh>
    <phoneticPr fontId="2"/>
  </si>
  <si>
    <t>M枠</t>
    <rPh sb="1" eb="2">
      <t>ワク</t>
    </rPh>
    <phoneticPr fontId="2"/>
  </si>
  <si>
    <t>M枠 + A枠</t>
    <rPh sb="1" eb="2">
      <t>ワク</t>
    </rPh>
    <rPh sb="6" eb="7">
      <t>ワク</t>
    </rPh>
    <phoneticPr fontId="2"/>
  </si>
  <si>
    <t>学籍番号</t>
    <rPh sb="0" eb="4">
      <t>ガクセキバンゴウ</t>
    </rPh>
    <phoneticPr fontId="2"/>
  </si>
  <si>
    <t>アドレス</t>
    <phoneticPr fontId="2"/>
  </si>
  <si>
    <t>学生枠</t>
    <rPh sb="0" eb="2">
      <t>ガクセイ</t>
    </rPh>
    <rPh sb="2" eb="3">
      <t>ワク</t>
    </rPh>
    <phoneticPr fontId="2"/>
  </si>
  <si>
    <t>希望</t>
    <rPh sb="0" eb="2">
      <t>キボウ</t>
    </rPh>
    <phoneticPr fontId="2"/>
  </si>
  <si>
    <t>修士</t>
    <rPh sb="0" eb="2">
      <t>シュウシ</t>
    </rPh>
    <phoneticPr fontId="2"/>
  </si>
  <si>
    <t>非表示</t>
    <rPh sb="0" eb="3">
      <t>ヒヒョウジ</t>
    </rPh>
    <phoneticPr fontId="2"/>
  </si>
  <si>
    <t>決定</t>
    <rPh sb="0" eb="2">
      <t>ケッテイ</t>
    </rPh>
    <phoneticPr fontId="2"/>
  </si>
  <si>
    <t>希望～非表示までの欄は Forms の回答をもとに自動更新されます</t>
    <rPh sb="0" eb="2">
      <t>キボウ</t>
    </rPh>
    <rPh sb="3" eb="6">
      <t>ヒヒョウジ</t>
    </rPh>
    <rPh sb="9" eb="10">
      <t>ラン</t>
    </rPh>
    <rPh sb="19" eb="21">
      <t>カイトウ</t>
    </rPh>
    <rPh sb="25" eb="29">
      <t>ジドウコウシン</t>
    </rPh>
    <phoneticPr fontId="2"/>
  </si>
  <si>
    <t>テーブルA: 研究室名と枠数</t>
    <rPh sb="7" eb="10">
      <t>ケンキュウシツ</t>
    </rPh>
    <rPh sb="10" eb="11">
      <t>メイ</t>
    </rPh>
    <rPh sb="12" eb="14">
      <t>ワクスウ</t>
    </rPh>
    <phoneticPr fontId="2"/>
  </si>
  <si>
    <t>研究室名</t>
    <rPh sb="0" eb="3">
      <t>ケンキュウシツ</t>
    </rPh>
    <rPh sb="3" eb="4">
      <t>メイ</t>
    </rPh>
    <phoneticPr fontId="2"/>
  </si>
  <si>
    <t>M枠+A枠</t>
    <rPh sb="1" eb="2">
      <t>ワク</t>
    </rPh>
    <rPh sb="4" eb="5">
      <t>ワク</t>
    </rPh>
    <phoneticPr fontId="2"/>
  </si>
  <si>
    <t>研究室名は Forms の投票項目と合わせてください</t>
    <rPh sb="0" eb="3">
      <t>ケンキュウシツ</t>
    </rPh>
    <rPh sb="3" eb="4">
      <t>メイ</t>
    </rPh>
    <rPh sb="13" eb="17">
      <t>トウヒョウコウモク</t>
    </rPh>
    <rPh sb="18" eb="19">
      <t>ア</t>
    </rPh>
    <phoneticPr fontId="2"/>
  </si>
  <si>
    <t>M枠（進学者枠）は内枠です</t>
    <rPh sb="1" eb="2">
      <t>ワク</t>
    </rPh>
    <rPh sb="3" eb="5">
      <t>シンガク</t>
    </rPh>
    <rPh sb="5" eb="6">
      <t>シャ</t>
    </rPh>
    <rPh sb="6" eb="7">
      <t>ワク</t>
    </rPh>
    <rPh sb="9" eb="11">
      <t>ウチワク</t>
    </rPh>
    <phoneticPr fontId="2"/>
  </si>
  <si>
    <t>調整会の前に入力しておいてください</t>
    <rPh sb="0" eb="2">
      <t>チョウセイ</t>
    </rPh>
    <rPh sb="2" eb="3">
      <t>カイ</t>
    </rPh>
    <rPh sb="4" eb="5">
      <t>マエ</t>
    </rPh>
    <rPh sb="6" eb="8">
      <t>ニュウリョク</t>
    </rPh>
    <phoneticPr fontId="2"/>
  </si>
  <si>
    <t>学籍番号・氏名・学生枠（AまたはB）は調整会の前に登録しておいてください</t>
    <rPh sb="0" eb="4">
      <t>ガクセキバンゴウ</t>
    </rPh>
    <rPh sb="5" eb="7">
      <t>シメイ</t>
    </rPh>
    <rPh sb="8" eb="10">
      <t>ガクセイ</t>
    </rPh>
    <rPh sb="10" eb="11">
      <t>ワク</t>
    </rPh>
    <rPh sb="19" eb="21">
      <t>チョウセイ</t>
    </rPh>
    <rPh sb="21" eb="22">
      <t>カイ</t>
    </rPh>
    <rPh sb="23" eb="24">
      <t>マエ</t>
    </rPh>
    <rPh sb="25" eb="27">
      <t>トウロク</t>
    </rPh>
    <phoneticPr fontId="2"/>
  </si>
  <si>
    <t>氏名</t>
    <rPh sb="0" eb="2">
      <t>シメイ</t>
    </rPh>
    <phoneticPr fontId="2"/>
  </si>
  <si>
    <t>通常いじる必要はないはずです</t>
    <rPh sb="0" eb="2">
      <t>ツウジョウ</t>
    </rPh>
    <rPh sb="5" eb="7">
      <t>ヒツヨウ</t>
    </rPh>
    <phoneticPr fontId="2"/>
  </si>
  <si>
    <t>グループ</t>
    <phoneticPr fontId="2"/>
  </si>
  <si>
    <t>表示順位</t>
    <rPh sb="0" eb="2">
      <t>ヒョウジ</t>
    </rPh>
    <rPh sb="2" eb="4">
      <t>ジュンイ</t>
    </rPh>
    <phoneticPr fontId="2"/>
  </si>
  <si>
    <t>表示キー</t>
    <rPh sb="0" eb="2">
      <t>ヒョウジ</t>
    </rPh>
    <phoneticPr fontId="2"/>
  </si>
  <si>
    <t>表示名</t>
    <rPh sb="0" eb="3">
      <t>ヒョウジメイ</t>
    </rPh>
    <phoneticPr fontId="2"/>
  </si>
  <si>
    <t>学籍番号</t>
    <rPh sb="0" eb="4">
      <t>ガクセキバンゴウ</t>
    </rPh>
    <phoneticPr fontId="2"/>
  </si>
  <si>
    <t>アドレス・決定欄は Excel 側で自動入力・更新されますので，書き換えないよう注意してください</t>
    <rPh sb="5" eb="7">
      <t>ケッテイ</t>
    </rPh>
    <rPh sb="7" eb="8">
      <t>ラン</t>
    </rPh>
    <rPh sb="16" eb="17">
      <t>ガワ</t>
    </rPh>
    <rPh sb="18" eb="20">
      <t>ジドウ</t>
    </rPh>
    <rPh sb="20" eb="22">
      <t>ニュウリョク</t>
    </rPh>
    <rPh sb="23" eb="25">
      <t>コウシン</t>
    </rPh>
    <rPh sb="32" eb="33">
      <t>カ</t>
    </rPh>
    <rPh sb="34" eb="35">
      <t>カ</t>
    </rPh>
    <rPh sb="40" eb="42">
      <t>チュウイ</t>
    </rPh>
    <phoneticPr fontId="2"/>
  </si>
  <si>
    <t>表示優先度</t>
    <rPh sb="0" eb="2">
      <t>ヒョウジ</t>
    </rPh>
    <rPh sb="2" eb="5">
      <t>ユウセンド</t>
    </rPh>
    <phoneticPr fontId="2"/>
  </si>
  <si>
    <t>研究室</t>
    <rPh sb="0" eb="3">
      <t>ケンキュウシツ</t>
    </rPh>
    <phoneticPr fontId="2"/>
  </si>
  <si>
    <t>テーブルD: 一覧表示への反映用</t>
    <rPh sb="7" eb="11">
      <t>イチランヒョウジ</t>
    </rPh>
    <rPh sb="13" eb="15">
      <t>ハンエイ</t>
    </rPh>
    <rPh sb="15" eb="16">
      <t>ヨウ</t>
    </rPh>
    <phoneticPr fontId="2"/>
  </si>
  <si>
    <t>テーブルC: 学生の回答・配属先管理用</t>
    <rPh sb="7" eb="9">
      <t>ガクセイ</t>
    </rPh>
    <rPh sb="10" eb="12">
      <t>カイトウ</t>
    </rPh>
    <rPh sb="13" eb="16">
      <t>ハイゾクサキ</t>
    </rPh>
    <rPh sb="16" eb="18">
      <t>カンリ</t>
    </rPh>
    <rPh sb="18" eb="19">
      <t>ヨウ</t>
    </rPh>
    <phoneticPr fontId="2"/>
  </si>
  <si>
    <t>テーブルB: 研究室ごとの学生優先度</t>
    <rPh sb="7" eb="10">
      <t>ケンキュウシツ</t>
    </rPh>
    <rPh sb="13" eb="15">
      <t>ガクセイ</t>
    </rPh>
    <rPh sb="15" eb="18">
      <t>ユウセンド</t>
    </rPh>
    <phoneticPr fontId="2"/>
  </si>
  <si>
    <t>学籍番号・氏名・GPAは調整会の前に登録しておいてください</t>
    <phoneticPr fontId="2"/>
  </si>
  <si>
    <t>氏名</t>
    <rPh sb="0" eb="2">
      <t>シメイ</t>
    </rPh>
    <phoneticPr fontId="2"/>
  </si>
  <si>
    <t>GPA</t>
    <phoneticPr fontId="2"/>
  </si>
  <si>
    <t>テーブルAの研究室名の内容をコピーし，形式を選択して貼り付け → 行列を入れ替える で貼り付けます</t>
    <rPh sb="6" eb="9">
      <t>ケンキュウシツ</t>
    </rPh>
    <rPh sb="9" eb="10">
      <t>メイ</t>
    </rPh>
    <rPh sb="11" eb="13">
      <t>ナイヨウ</t>
    </rPh>
    <rPh sb="19" eb="21">
      <t>ケイシキ</t>
    </rPh>
    <rPh sb="22" eb="24">
      <t>センタク</t>
    </rPh>
    <rPh sb="26" eb="27">
      <t>ハ</t>
    </rPh>
    <rPh sb="28" eb="29">
      <t>ツ</t>
    </rPh>
    <rPh sb="33" eb="34">
      <t>ギョウ</t>
    </rPh>
    <rPh sb="34" eb="35">
      <t>レツ</t>
    </rPh>
    <rPh sb="36" eb="37">
      <t>イ</t>
    </rPh>
    <rPh sb="38" eb="39">
      <t>カ</t>
    </rPh>
    <rPh sb="43" eb="44">
      <t>ハ</t>
    </rPh>
    <rPh sb="45" eb="46">
      <t>ツ</t>
    </rPh>
    <phoneticPr fontId="2"/>
  </si>
  <si>
    <t>優先度は整数で入力します．数字が高い人が優先で，優先度が同じ場合はGPA順で優先します</t>
    <rPh sb="0" eb="3">
      <t>ユウセンド</t>
    </rPh>
    <rPh sb="4" eb="6">
      <t>セイスウ</t>
    </rPh>
    <rPh sb="7" eb="9">
      <t>ニュウリョク</t>
    </rPh>
    <rPh sb="13" eb="15">
      <t>スウジ</t>
    </rPh>
    <rPh sb="16" eb="17">
      <t>タカ</t>
    </rPh>
    <rPh sb="18" eb="19">
      <t>ヒト</t>
    </rPh>
    <rPh sb="20" eb="22">
      <t>ユウセン</t>
    </rPh>
    <rPh sb="24" eb="27">
      <t>ユウセンド</t>
    </rPh>
    <rPh sb="28" eb="29">
      <t>オナ</t>
    </rPh>
    <rPh sb="30" eb="32">
      <t>バアイ</t>
    </rPh>
    <rPh sb="36" eb="37">
      <t>ジュン</t>
    </rPh>
    <rPh sb="38" eb="40">
      <t>ユウセン</t>
    </rPh>
    <phoneticPr fontId="2"/>
  </si>
  <si>
    <t>研究室を選択</t>
    <rPh sb="0" eb="3">
      <t>ケンキュウシツ</t>
    </rPh>
    <rPh sb="4" eb="6">
      <t>センタク</t>
    </rPh>
    <phoneticPr fontId="2"/>
  </si>
  <si>
    <t>学籍番号</t>
    <rPh sb="0" eb="4">
      <t>ガクセキバンゴウ</t>
    </rPh>
    <phoneticPr fontId="2"/>
  </si>
  <si>
    <t>氏名</t>
    <rPh sb="0" eb="2">
      <t>シメイ</t>
    </rPh>
    <phoneticPr fontId="2"/>
  </si>
  <si>
    <t>優先度</t>
    <rPh sb="0" eb="3">
      <t>ユウセンド</t>
    </rPh>
    <phoneticPr fontId="2"/>
  </si>
  <si>
    <t>GPA</t>
    <phoneticPr fontId="2"/>
  </si>
  <si>
    <t>決定</t>
    <rPh sb="0" eb="2">
      <t>ケッテイ</t>
    </rPh>
    <phoneticPr fontId="2"/>
  </si>
  <si>
    <t>学生枠</t>
    <rPh sb="0" eb="2">
      <t>ガクセイ</t>
    </rPh>
    <rPh sb="2" eb="3">
      <t>ワク</t>
    </rPh>
    <phoneticPr fontId="2"/>
  </si>
  <si>
    <t>配属</t>
    <rPh sb="0" eb="2">
      <t>ハイゾク</t>
    </rPh>
    <phoneticPr fontId="2"/>
  </si>
  <si>
    <t>M枠</t>
    <rPh sb="1" eb="2">
      <t>ワク</t>
    </rPh>
    <phoneticPr fontId="2"/>
  </si>
  <si>
    <t>B枠</t>
    <rPh sb="1" eb="2">
      <t>ワク</t>
    </rPh>
    <phoneticPr fontId="2"/>
  </si>
  <si>
    <t>M枠+A枠</t>
    <rPh sb="1" eb="2">
      <t>ワク</t>
    </rPh>
    <rPh sb="4" eb="5">
      <t>ワク</t>
    </rPh>
    <phoneticPr fontId="2"/>
  </si>
  <si>
    <t>/</t>
    <phoneticPr fontId="2"/>
  </si>
  <si>
    <t>研究室</t>
    <rPh sb="0" eb="3">
      <t>ケンキュウシツ</t>
    </rPh>
    <phoneticPr fontId="2"/>
  </si>
  <si>
    <t>調整</t>
    <rPh sb="0" eb="2">
      <t>チョウセイ</t>
    </rPh>
    <phoneticPr fontId="2"/>
  </si>
  <si>
    <t>合計</t>
    <rPh sb="0" eb="2">
      <t>ゴウケイ</t>
    </rPh>
    <phoneticPr fontId="2"/>
  </si>
  <si>
    <t>優先度ランダム</t>
    <rPh sb="0" eb="3">
      <t>ユウセンド</t>
    </rPh>
    <phoneticPr fontId="2"/>
  </si>
  <si>
    <t>抽選とする場合，優先度ランダムの列に何らかの値を入力します</t>
    <rPh sb="0" eb="2">
      <t>チュウセン</t>
    </rPh>
    <rPh sb="5" eb="7">
      <t>バアイ</t>
    </rPh>
    <rPh sb="8" eb="11">
      <t>ユウセンド</t>
    </rPh>
    <rPh sb="16" eb="17">
      <t>レツ</t>
    </rPh>
    <rPh sb="18" eb="19">
      <t>ナニ</t>
    </rPh>
    <rPh sb="22" eb="23">
      <t>アタイ</t>
    </rPh>
    <rPh sb="24" eb="26">
      <t>ニュウリョク</t>
    </rPh>
    <phoneticPr fontId="2"/>
  </si>
  <si>
    <t>A研</t>
  </si>
  <si>
    <t>A研</t>
    <rPh sb="1" eb="2">
      <t>ケン</t>
    </rPh>
    <phoneticPr fontId="2"/>
  </si>
  <si>
    <t>B研</t>
  </si>
  <si>
    <t>B研</t>
    <rPh sb="1" eb="2">
      <t>ケン</t>
    </rPh>
    <phoneticPr fontId="2"/>
  </si>
  <si>
    <t>C研</t>
  </si>
  <si>
    <t>C研</t>
    <rPh sb="1" eb="2">
      <t>ケン</t>
    </rPh>
    <phoneticPr fontId="2"/>
  </si>
  <si>
    <t>A研</t>
    <rPh sb="1" eb="2">
      <t>ケン</t>
    </rPh>
    <phoneticPr fontId="2"/>
  </si>
  <si>
    <t>B研</t>
    <rPh sb="1" eb="2">
      <t>ケン</t>
    </rPh>
    <phoneticPr fontId="2"/>
  </si>
  <si>
    <t>C研</t>
    <rPh sb="1" eb="2">
      <t>ケン</t>
    </rPh>
    <phoneticPr fontId="2"/>
  </si>
  <si>
    <t>電気　太郎</t>
  </si>
  <si>
    <t>電気　太郎</t>
    <rPh sb="0" eb="2">
      <t>デンキ</t>
    </rPh>
    <rPh sb="3" eb="5">
      <t>タロウ</t>
    </rPh>
    <phoneticPr fontId="2"/>
  </si>
  <si>
    <t>V99901</t>
  </si>
  <si>
    <t>V99901</t>
    <phoneticPr fontId="2"/>
  </si>
  <si>
    <t>V99902</t>
  </si>
  <si>
    <t>V99902</t>
    <phoneticPr fontId="2"/>
  </si>
  <si>
    <t>電子　三郎</t>
    <rPh sb="0" eb="2">
      <t>デンシ</t>
    </rPh>
    <rPh sb="3" eb="5">
      <t>サブロウ</t>
    </rPh>
    <phoneticPr fontId="2"/>
  </si>
  <si>
    <t>V99903</t>
  </si>
  <si>
    <t>V99903</t>
    <phoneticPr fontId="2"/>
  </si>
  <si>
    <t>情報　五郎</t>
    <rPh sb="0" eb="2">
      <t>ジョウホウ</t>
    </rPh>
    <rPh sb="3" eb="5">
      <t>ゴロウ</t>
    </rPh>
    <phoneticPr fontId="2"/>
  </si>
  <si>
    <t>A</t>
    <phoneticPr fontId="2"/>
  </si>
  <si>
    <t>B</t>
    <phoneticPr fontId="2"/>
  </si>
  <si>
    <t>yes</t>
    <phoneticPr fontId="2"/>
  </si>
  <si>
    <t>M枠</t>
  </si>
  <si>
    <t>no</t>
  </si>
  <si>
    <t>yes</t>
    <phoneticPr fontId="2"/>
  </si>
  <si>
    <t>yes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</si>
</sst>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11" x14ac:knownFonts="1"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4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0"/>
      <name val="游ゴシック"/>
      <family val="2"/>
      <scheme val="minor"/>
    </font>
    <font>
      <sz val="11"/>
      <color rgb="FFFF0000"/>
      <name val="游ゴシック"/>
      <family val="2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rgb="FF000000"/>
      </right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2" borderId="1" xfId="0" applyFill="1" applyBorder="1"/>
    <xf numFmtId="0" fontId="3" fillId="0" borderId="0" xfId="0" applyFont="1"/>
    <xf numFmtId="0" fontId="0" fillId="3" borderId="1" xfId="0" applyFill="1" applyBorder="1"/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5" fillId="0" borderId="3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8" xfId="0" applyBorder="1"/>
    <xf numFmtId="0" fontId="6" fillId="0" borderId="8" xfId="0" applyFont="1" applyBorder="1"/>
    <xf numFmtId="0" fontId="7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2" borderId="0" xfId="0" applyFill="1"/>
    <xf numFmtId="0" fontId="8" fillId="0" borderId="0" xfId="0" applyFont="1"/>
    <xf numFmtId="0" fontId="0" fillId="0" borderId="0" xfId="0" quotePrefix="1" applyAlignment="1">
      <alignment horizontal="center"/>
    </xf>
    <xf numFmtId="0" fontId="0" fillId="0" borderId="10" xfId="0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76" fontId="0" fillId="0" borderId="0" xfId="0" applyNumberFormat="1"/>
    <xf numFmtId="0" fontId="0" fillId="0" borderId="10" xfId="0" applyFill="1" applyBorder="1"/>
    <xf numFmtId="0" fontId="9" fillId="0" borderId="0" xfId="0" applyFont="1" applyFill="1"/>
    <xf numFmtId="0" fontId="0" fillId="2" borderId="12" xfId="0" applyFill="1" applyBorder="1"/>
    <xf numFmtId="0" fontId="0" fillId="2" borderId="13" xfId="0" applyFill="1" applyBorder="1"/>
    <xf numFmtId="0" fontId="0" fillId="0" borderId="0" xfId="0" applyFill="1" applyBorder="1"/>
  </cellXfs>
  <cellStyles count="1">
    <cellStyle name="標準" xfId="0" builtinId="0"/>
  </cellStyles>
  <dxfs count="31">
    <dxf>
      <numFmt numFmtId="176" formatCode="0.0000"/>
    </dxf>
    <dxf>
      <font>
        <strike val="0"/>
        <outline val="0"/>
        <shadow val="0"/>
        <u val="none"/>
        <vertAlign val="baseline"/>
        <sz val="11"/>
        <color theme="0"/>
        <name val="游ゴシック"/>
        <family val="2"/>
        <scheme val="minor"/>
      </font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theme="0" tint="-0.1499679555650502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border outline="0">
        <bottom style="thin">
          <color rgb="FF000000"/>
        </bottom>
      </border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theme="0"/>
      </font>
    </dxf>
    <dxf>
      <font>
        <color theme="0"/>
      </font>
    </dxf>
    <dxf>
      <fill>
        <gradientFill degree="90"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border>
        <bottom style="thin">
          <color theme="6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theme="5" tint="0.59999389629810485"/>
          </stop>
        </gradientFill>
      </fill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strike val="0"/>
        <color theme="5" tint="-0.499984740745262"/>
      </font>
      <fill>
        <patternFill>
          <bgColor theme="5" tint="0.79998168889431442"/>
        </patternFill>
      </fill>
    </dxf>
    <dxf>
      <border>
        <bottom style="thin">
          <color theme="4"/>
        </bottom>
        <vertical/>
        <horizontal/>
      </border>
    </dxf>
    <dxf>
      <border>
        <bottom style="thin">
          <color theme="5"/>
        </bottom>
        <vertical/>
        <horizontal/>
      </border>
    </dxf>
    <dxf>
      <font>
        <color theme="0"/>
      </font>
    </dxf>
    <dxf>
      <fill>
        <gradientFill degree="90"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border>
        <bottom style="thin">
          <color theme="6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theme="5" tint="0.59999389629810485"/>
          </stop>
        </gradientFill>
      </fill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strike val="0"/>
        <color theme="5" tint="-0.499984740745262"/>
      </font>
      <fill>
        <patternFill>
          <bgColor theme="5" tint="0.79998168889431442"/>
        </patternFill>
      </fill>
    </dxf>
    <dxf>
      <border>
        <bottom style="thin">
          <color theme="4"/>
        </bottom>
        <vertical/>
        <horizontal/>
      </border>
    </dxf>
    <dxf>
      <border>
        <bottom style="thin">
          <color theme="5"/>
        </bottom>
        <vertical/>
        <horizontal/>
      </border>
    </dxf>
    <dxf>
      <font>
        <color theme="0"/>
      </font>
    </dxf>
  </dxfs>
  <tableStyles count="0" defaultTableStyle="TableStyleMedium2" defaultPivotStyle="PivotStyleMedium9"/>
  <colors>
    <mruColors>
      <color rgb="FFFFE1E5"/>
      <color rgb="FFFFF9E1"/>
      <color rgb="FFE1F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0" dropStyle="combo" dx="22" noThreeD="1" sel="1" val="0">
  <itemLst>
    <item val="A研"/>
    <item val="B研"/>
    <item val="C研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B$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0</xdr:row>
          <xdr:rowOff>114300</xdr:rowOff>
        </xdr:from>
        <xdr:to>
          <xdr:col>3</xdr:col>
          <xdr:colOff>1181100</xdr:colOff>
          <xdr:row>2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4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研究室リストを更新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1181100</xdr:colOff>
          <xdr:row>4</xdr:row>
          <xdr:rowOff>0</xdr:rowOff>
        </xdr:to>
        <xdr:sp macro="" textlink="">
          <xdr:nvSpPr>
            <xdr:cNvPr id="1223" name="研究室選択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4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4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選択を確定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495300</xdr:colOff>
          <xdr:row>3</xdr:row>
          <xdr:rowOff>228600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4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次ラウンドへ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427" name="Check Box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4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3750BD-7EE5-463C-BC2A-E872107A4CAC}" name="研究室" displayName="研究室" ref="A8:E11" totalsRowShown="0" headerRowDxfId="8">
  <autoFilter ref="A8:E11" xr:uid="{ADA6212D-14BF-485D-9C0A-53EC10A8E485}"/>
  <tableColumns count="5">
    <tableColumn id="1" xr3:uid="{256FA4BB-09DC-4A82-B83A-7F25C47A0B3A}" name="研究室名"/>
    <tableColumn id="2" xr3:uid="{FCC8EA48-192B-4AF1-9FB3-C17E608B840B}" name="M枠"/>
    <tableColumn id="3" xr3:uid="{97BFFE2E-3237-4712-BA37-FCBC9AC7B075}" name="M枠+A枠"/>
    <tableColumn id="4" xr3:uid="{D4812F31-2D37-4B7C-AF5E-80CB80862133}" name="B枠"/>
    <tableColumn id="5" xr3:uid="{D4569A16-6112-466C-9402-857F9007386F}" name="優先度ランダム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2F70DA-F443-4020-A2E8-289A14F7B7C5}" name="学生優先度" displayName="学生優先度" ref="G8:L11" totalsRowShown="0">
  <autoFilter ref="G8:L11" xr:uid="{5254FB39-AE62-4FD3-84B6-D22502D1E331}"/>
  <tableColumns count="6">
    <tableColumn id="1" xr3:uid="{857DCC1F-04FD-46D0-99F0-0D1ECE0922D9}" name="学籍番号"/>
    <tableColumn id="2" xr3:uid="{2EA53085-69C5-4097-8F80-DDF4E4936317}" name="氏名"/>
    <tableColumn id="3" xr3:uid="{DC0B1AC0-AF6A-4D72-A7B3-1F7DFF738B0E}" name="GPA"/>
    <tableColumn id="4" xr3:uid="{7294F8CF-9C0D-484A-BEDB-03D59025925C}" name="A研"/>
    <tableColumn id="5" xr3:uid="{77E04CE4-7BC4-49B4-9C31-4628ADA2D921}" name="B研"/>
    <tableColumn id="6" xr3:uid="{93CACFA5-1697-4AD2-9D72-70C56EABF6A3}" name="C研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D55B3E-E868-44DB-BFDA-274B884E121E}" name="登録一覧" displayName="登録一覧" ref="A6:H9" totalsRowShown="0" headerRowBorderDxfId="5">
  <autoFilter ref="A6:H9" xr:uid="{48D55B3E-E868-44DB-BFDA-274B884E121E}"/>
  <tableColumns count="8">
    <tableColumn id="3" xr3:uid="{D73B7F46-1CE6-4C10-8B8B-5FC56F048D88}" name="学籍番号"/>
    <tableColumn id="11" xr3:uid="{972ABBE7-23FF-47FA-A6A9-6CBDBBFAA260}" name="氏名"/>
    <tableColumn id="2" xr3:uid="{6E8B3975-41EB-4F6C-AAC4-AA490671286C}" name="学生枠"/>
    <tableColumn id="1" xr3:uid="{C95EB50A-9467-4485-906A-FDD730CA80F2}" name="アドレス">
      <calculatedColumnFormula>IF(登録一覧[学籍番号]="", "", IF(LEN(登録一覧[学籍番号])=6, LOWER(登録一覧[学籍番号] &amp; REPT(MID(登録一覧[学籍番号], 1, 1),2)), 登録一覧[学籍番号]) &amp; "@aitech.ac.jp")</calculatedColumnFormula>
    </tableColumn>
    <tableColumn id="8" xr3:uid="{E11CEF9D-6819-4AA6-B326-F5A5298EA7D2}" name="決定"/>
    <tableColumn id="4" xr3:uid="{5F0B7C53-701E-4569-959D-959BD012F219}" name="希望"/>
    <tableColumn id="5" xr3:uid="{E9C41B78-6E31-4FF4-BE13-ED84B2EFB95B}" name="修士"/>
    <tableColumn id="6" xr3:uid="{E8397369-7958-4E99-82D9-8988F6ED23BE}" name="非表示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5060265-31BE-411A-8A6E-3899D047A477}" name="調整" displayName="調整" ref="B6:H7" totalsRowShown="0">
  <autoFilter ref="B6:H7" xr:uid="{A3C7C7C4-39F1-4FD0-8984-F080FC8F2F9F}"/>
  <sortState ref="B7:H7">
    <sortCondition ref="H6:H7" customList="no,yes"/>
    <sortCondition ref="E6:E7" customList="M枠,A枠,B枠"/>
    <sortCondition descending="1" ref="F6:F7"/>
    <sortCondition descending="1" ref="G6:G7"/>
  </sortState>
  <tableColumns count="7">
    <tableColumn id="1" xr3:uid="{AD334D4D-E9E0-4577-AD48-B0F5A02B718E}" name="配属" dataDxfId="1"/>
    <tableColumn id="2" xr3:uid="{01099616-9E63-4BCE-8A90-F187D83E4A4D}" name="学籍番号"/>
    <tableColumn id="3" xr3:uid="{16D88236-921F-44AD-8618-5F8BDDBBAE5E}" name="氏名"/>
    <tableColumn id="4" xr3:uid="{0B496159-0DA9-4555-844F-8F6EC0277193}" name="学生枠"/>
    <tableColumn id="5" xr3:uid="{E3AC6E11-A0D6-42A4-981F-439172C75183}" name="優先度"/>
    <tableColumn id="6" xr3:uid="{B46E99EE-9400-4A93-8C85-F4BBF98CDA39}" name="GPA" dataDxfId="0"/>
    <tableColumn id="7" xr3:uid="{DF17CABB-67AA-4F97-9CF9-CB8A36E6F8FF}" name="決定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CB4D9B-9E9F-4432-AABB-AC0652432FB3}" name="調整有無" displayName="調整有無" ref="J10:K13" totalsRowShown="0">
  <autoFilter ref="J10:K13" xr:uid="{36C7EA13-4D45-4AE3-8DAC-0F3B1D899BFE}"/>
  <tableColumns count="2">
    <tableColumn id="1" xr3:uid="{5115DBD8-EAB8-45E8-9C83-03B0EF65B0AD}" name="研究室"/>
    <tableColumn id="2" xr3:uid="{72545A17-B164-42EA-8854-F53E01D23AA9}" name="調整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DSLab CU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5AFF"/>
      </a:accent1>
      <a:accent2>
        <a:srgbClr val="FF4B00"/>
      </a:accent2>
      <a:accent3>
        <a:srgbClr val="03AF7A"/>
      </a:accent3>
      <a:accent4>
        <a:srgbClr val="FFF100"/>
      </a:accent4>
      <a:accent5>
        <a:srgbClr val="4DC4FF"/>
      </a:accent5>
      <a:accent6>
        <a:srgbClr val="F6AA0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7"/>
  <sheetViews>
    <sheetView zoomScale="85" zoomScaleNormal="85" workbookViewId="0"/>
  </sheetViews>
  <sheetFormatPr defaultRowHeight="18.75" x14ac:dyDescent="0.4"/>
  <cols>
    <col min="1" max="1" width="10.625" bestFit="1" customWidth="1"/>
    <col min="2" max="14" width="10.625" customWidth="1"/>
  </cols>
  <sheetData>
    <row r="1" spans="1:14" ht="19.5" thickBot="1" x14ac:dyDescent="0.45">
      <c r="A1" s="13" t="s">
        <v>0</v>
      </c>
      <c r="B1" s="14" t="str">
        <f>IFERROR(INDEX(研究室[研究室名],COLUMN()-1),"")</f>
        <v>A研</v>
      </c>
      <c r="C1" s="14" t="str">
        <f>IFERROR(INDEX(研究室[研究室名],COLUMN()-1),"")</f>
        <v>B研</v>
      </c>
      <c r="D1" s="14" t="str">
        <f>IFERROR(INDEX(研究室[研究室名],COLUMN()-1),"")</f>
        <v>C研</v>
      </c>
      <c r="E1" s="14" t="str">
        <f>IFERROR(INDEX(研究室[研究室名],COLUMN()-1),"")</f>
        <v/>
      </c>
      <c r="F1" s="14" t="str">
        <f>IFERROR(INDEX(研究室[研究室名],COLUMN()-1),"")</f>
        <v/>
      </c>
      <c r="G1" s="14" t="str">
        <f>IFERROR(INDEX(研究室[研究室名],COLUMN()-1),"")</f>
        <v/>
      </c>
      <c r="H1" s="14" t="str">
        <f>IFERROR(INDEX(研究室[研究室名],COLUMN()-1),"")</f>
        <v/>
      </c>
      <c r="I1" s="14" t="str">
        <f>IFERROR(INDEX(研究室[研究室名],COLUMN()-1),"")</f>
        <v/>
      </c>
      <c r="J1" s="14" t="str">
        <f>IFERROR(INDEX(研究室[研究室名],COLUMN()-1),"")</f>
        <v/>
      </c>
      <c r="K1" s="14" t="str">
        <f>IFERROR(INDEX(研究室[研究室名],COLUMN()-1),"")</f>
        <v/>
      </c>
      <c r="L1" s="14" t="str">
        <f>IFERROR(INDEX(研究室[研究室名],COLUMN()-1),"")</f>
        <v/>
      </c>
      <c r="M1" s="14" t="str">
        <f>IFERROR(INDEX(研究室[研究室名],COLUMN()-1),"")</f>
        <v/>
      </c>
      <c r="N1" s="14" t="str">
        <f>IFERROR(INDEX(研究室[研究室名],COLUMN()-1),"")</f>
        <v/>
      </c>
    </row>
    <row r="2" spans="1:14" ht="18" customHeight="1" thickTop="1" x14ac:dyDescent="0.4">
      <c r="A2" s="2" t="s">
        <v>2</v>
      </c>
      <c r="B2" s="8">
        <f>IFERROR(INDEX(研究室[M枠],COLUMN()-1),"")</f>
        <v>0</v>
      </c>
      <c r="C2" s="8">
        <f>IFERROR(INDEX(研究室[M枠],COLUMN()-1),"")</f>
        <v>0</v>
      </c>
      <c r="D2" s="8">
        <f>IFERROR(INDEX(研究室[M枠],COLUMN()-1),"")</f>
        <v>0</v>
      </c>
      <c r="E2" s="8" t="str">
        <f>IFERROR(INDEX(研究室[M枠],COLUMN()-1),"")</f>
        <v/>
      </c>
      <c r="F2" s="8" t="str">
        <f>IFERROR(INDEX(研究室[M枠],COLUMN()-1),"")</f>
        <v/>
      </c>
      <c r="G2" s="8" t="str">
        <f>IFERROR(INDEX(研究室[M枠],COLUMN()-1),"")</f>
        <v/>
      </c>
      <c r="H2" s="8" t="str">
        <f>IFERROR(INDEX(研究室[M枠],COLUMN()-1),"")</f>
        <v/>
      </c>
      <c r="I2" s="8" t="str">
        <f>IFERROR(INDEX(研究室[M枠],COLUMN()-1),"")</f>
        <v/>
      </c>
      <c r="J2" s="8" t="str">
        <f>IFERROR(INDEX(研究室[M枠],COLUMN()-1),"")</f>
        <v/>
      </c>
      <c r="K2" s="8" t="str">
        <f>IFERROR(INDEX(研究室[M枠],COLUMN()-1),"")</f>
        <v/>
      </c>
      <c r="L2" s="8" t="str">
        <f>IFERROR(INDEX(研究室[M枠],COLUMN()-1),"")</f>
        <v/>
      </c>
      <c r="M2" s="8" t="str">
        <f>IFERROR(INDEX(研究室[M枠],COLUMN()-1),"")</f>
        <v/>
      </c>
      <c r="N2" s="8" t="str">
        <f>IFERROR(INDEX(研究室[M枠],COLUMN()-1),"")</f>
        <v/>
      </c>
    </row>
    <row r="3" spans="1:14" ht="18" customHeight="1" x14ac:dyDescent="0.4">
      <c r="A3" s="2" t="s">
        <v>3</v>
      </c>
      <c r="B3" s="8">
        <f>IFERROR(INDEX(研究室[M枠+A枠],COLUMN()-1),"")</f>
        <v>2</v>
      </c>
      <c r="C3" s="8">
        <f>IFERROR(INDEX(研究室[M枠+A枠],COLUMN()-1),"")</f>
        <v>2</v>
      </c>
      <c r="D3" s="8">
        <f>IFERROR(INDEX(研究室[M枠+A枠],COLUMN()-1),"")</f>
        <v>2</v>
      </c>
      <c r="E3" s="8" t="str">
        <f>IFERROR(INDEX(研究室[M枠+A枠],COLUMN()-1),"")</f>
        <v/>
      </c>
      <c r="F3" s="8" t="str">
        <f>IFERROR(INDEX(研究室[M枠+A枠],COLUMN()-1),"")</f>
        <v/>
      </c>
      <c r="G3" s="8" t="str">
        <f>IFERROR(INDEX(研究室[M枠+A枠],COLUMN()-1),"")</f>
        <v/>
      </c>
      <c r="H3" s="8" t="str">
        <f>IFERROR(INDEX(研究室[M枠+A枠],COLUMN()-1),"")</f>
        <v/>
      </c>
      <c r="I3" s="8" t="str">
        <f>IFERROR(INDEX(研究室[M枠+A枠],COLUMN()-1),"")</f>
        <v/>
      </c>
      <c r="J3" s="8" t="str">
        <f>IFERROR(INDEX(研究室[M枠+A枠],COLUMN()-1),"")</f>
        <v/>
      </c>
      <c r="K3" s="8" t="str">
        <f>IFERROR(INDEX(研究室[M枠+A枠],COLUMN()-1),"")</f>
        <v/>
      </c>
      <c r="L3" s="8" t="str">
        <f>IFERROR(INDEX(研究室[M枠+A枠],COLUMN()-1),"")</f>
        <v/>
      </c>
      <c r="M3" s="8" t="str">
        <f>IFERROR(INDEX(研究室[M枠+A枠],COLUMN()-1),"")</f>
        <v/>
      </c>
      <c r="N3" s="8" t="str">
        <f>IFERROR(INDEX(研究室[M枠+A枠],COLUMN()-1),"")</f>
        <v/>
      </c>
    </row>
    <row r="4" spans="1:14" ht="18" customHeight="1" thickBot="1" x14ac:dyDescent="0.45">
      <c r="A4" s="9" t="s">
        <v>1</v>
      </c>
      <c r="B4" s="12">
        <f>IFERROR(INDEX(研究室[B枠],COLUMN()-1),"")</f>
        <v>2</v>
      </c>
      <c r="C4" s="12">
        <f>IFERROR(INDEX(研究室[B枠],COLUMN()-1),"")</f>
        <v>2</v>
      </c>
      <c r="D4" s="12">
        <f>IFERROR(INDEX(研究室[B枠],COLUMN()-1),"")</f>
        <v>2</v>
      </c>
      <c r="E4" s="12" t="str">
        <f>IFERROR(INDEX(研究室[B枠],COLUMN()-1),"")</f>
        <v/>
      </c>
      <c r="F4" s="12" t="str">
        <f>IFERROR(INDEX(研究室[B枠],COLUMN()-1),"")</f>
        <v/>
      </c>
      <c r="G4" s="12" t="str">
        <f>IFERROR(INDEX(研究室[B枠],COLUMN()-1),"")</f>
        <v/>
      </c>
      <c r="H4" s="12" t="str">
        <f>IFERROR(INDEX(研究室[B枠],COLUMN()-1),"")</f>
        <v/>
      </c>
      <c r="I4" s="12" t="str">
        <f>IFERROR(INDEX(研究室[B枠],COLUMN()-1),"")</f>
        <v/>
      </c>
      <c r="J4" s="12" t="str">
        <f>IFERROR(INDEX(研究室[B枠],COLUMN()-1),"")</f>
        <v/>
      </c>
      <c r="K4" s="12" t="str">
        <f>IFERROR(INDEX(研究室[B枠],COLUMN()-1),"")</f>
        <v/>
      </c>
      <c r="L4" s="12" t="str">
        <f>IFERROR(INDEX(研究室[B枠],COLUMN()-1),"")</f>
        <v/>
      </c>
      <c r="M4" s="12" t="str">
        <f>IFERROR(INDEX(研究室[B枠],COLUMN()-1),"")</f>
        <v/>
      </c>
      <c r="N4" s="12" t="str">
        <f>IFERROR(INDEX(研究室[B枠],COLUMN()-1),"")</f>
        <v/>
      </c>
    </row>
    <row r="5" spans="1:14" ht="18" customHeight="1" thickTop="1" x14ac:dyDescent="0.4">
      <c r="A5" s="2">
        <v>1</v>
      </c>
      <c r="B5" s="1" t="str">
        <f>_xlfn.IFNA(VLOOKUP(B$1&amp;"A"&amp;$A5,回答!$M$7:$S$256,2,FALSE),"")</f>
        <v>!V99901</v>
      </c>
      <c r="C5" s="1" t="str">
        <f>_xlfn.IFNA(VLOOKUP(C$1&amp;"A"&amp;$A5,回答!$M$7:$S$256,2,FALSE),"")</f>
        <v>V99902</v>
      </c>
      <c r="D5" s="1" t="str">
        <f>_xlfn.IFNA(VLOOKUP(D$1&amp;"A"&amp;$A5,回答!$M$7:$S$256,2,FALSE),"")</f>
        <v/>
      </c>
      <c r="E5" s="7" t="str">
        <f>_xlfn.IFNA(VLOOKUP(E$1&amp;"A"&amp;$A5,回答!$M$7:$S$256,2,FALSE),"")</f>
        <v/>
      </c>
      <c r="F5" s="7" t="str">
        <f>_xlfn.IFNA(VLOOKUP(F$1&amp;"A"&amp;$A5,回答!$M$7:$S$256,2,FALSE),"")</f>
        <v/>
      </c>
      <c r="G5" s="7" t="str">
        <f>_xlfn.IFNA(VLOOKUP(G$1&amp;"A"&amp;$A5,回答!$M$7:$S$256,2,FALSE),"")</f>
        <v/>
      </c>
      <c r="H5" s="7" t="str">
        <f>_xlfn.IFNA(VLOOKUP(H$1&amp;"A"&amp;$A5,回答!$M$7:$S$256,2,FALSE),"")</f>
        <v/>
      </c>
      <c r="I5" s="7" t="str">
        <f>_xlfn.IFNA(VLOOKUP(I$1&amp;"A"&amp;$A5,回答!$M$7:$S$256,2,FALSE),"")</f>
        <v/>
      </c>
      <c r="J5" s="7" t="str">
        <f>_xlfn.IFNA(VLOOKUP(J$1&amp;"A"&amp;$A5,回答!$M$7:$S$256,2,FALSE),"")</f>
        <v/>
      </c>
      <c r="K5" s="7" t="str">
        <f>_xlfn.IFNA(VLOOKUP(K$1&amp;"A"&amp;$A5,回答!$M$7:$S$256,2,FALSE),"")</f>
        <v/>
      </c>
      <c r="L5" s="7" t="str">
        <f>_xlfn.IFNA(VLOOKUP(L$1&amp;"A"&amp;$A5,回答!$M$7:$S$256,2,FALSE),"")</f>
        <v/>
      </c>
      <c r="M5" s="7" t="str">
        <f>_xlfn.IFNA(VLOOKUP(M$1&amp;"A"&amp;$A5,回答!$M$7:$S$256,2,FALSE),"")</f>
        <v/>
      </c>
      <c r="N5" s="7" t="str">
        <f>_xlfn.IFNA(VLOOKUP(N$1&amp;"A"&amp;$A5,回答!$M$7:$S$256,2,FALSE),"")</f>
        <v/>
      </c>
    </row>
    <row r="6" spans="1:14" ht="18" customHeight="1" x14ac:dyDescent="0.4">
      <c r="A6" s="2">
        <v>2</v>
      </c>
      <c r="B6" s="1" t="str">
        <f>_xlfn.IFNA(VLOOKUP(B$1&amp;"A"&amp;$A6,回答!$M$7:$S$256,2,FALSE),"")</f>
        <v/>
      </c>
      <c r="C6" s="1" t="str">
        <f>_xlfn.IFNA(VLOOKUP(C$1&amp;"A"&amp;$A6,回答!$M$7:$S$256,2,FALSE),"")</f>
        <v/>
      </c>
      <c r="D6" s="1" t="str">
        <f>_xlfn.IFNA(VLOOKUP(D$1&amp;"A"&amp;$A6,回答!$M$7:$S$256,2,FALSE),"")</f>
        <v/>
      </c>
      <c r="E6" s="7" t="str">
        <f>_xlfn.IFNA(VLOOKUP(E$1&amp;"A"&amp;$A6,回答!$M$7:$S$256,2,FALSE),"")</f>
        <v/>
      </c>
      <c r="F6" s="7" t="str">
        <f>_xlfn.IFNA(VLOOKUP(F$1&amp;"A"&amp;$A6,回答!$M$7:$S$256,2,FALSE),"")</f>
        <v/>
      </c>
      <c r="G6" s="7" t="str">
        <f>_xlfn.IFNA(VLOOKUP(G$1&amp;"A"&amp;$A6,回答!$M$7:$S$256,2,FALSE),"")</f>
        <v/>
      </c>
      <c r="H6" s="7" t="str">
        <f>_xlfn.IFNA(VLOOKUP(H$1&amp;"A"&amp;$A6,回答!$M$7:$S$256,2,FALSE),"")</f>
        <v/>
      </c>
      <c r="I6" s="7" t="str">
        <f>_xlfn.IFNA(VLOOKUP(I$1&amp;"A"&amp;$A6,回答!$M$7:$S$256,2,FALSE),"")</f>
        <v/>
      </c>
      <c r="J6" s="7" t="str">
        <f>_xlfn.IFNA(VLOOKUP(J$1&amp;"A"&amp;$A6,回答!$M$7:$S$256,2,FALSE),"")</f>
        <v/>
      </c>
      <c r="K6" s="7" t="str">
        <f>_xlfn.IFNA(VLOOKUP(K$1&amp;"A"&amp;$A6,回答!$M$7:$S$256,2,FALSE),"")</f>
        <v/>
      </c>
      <c r="L6" s="7" t="str">
        <f>_xlfn.IFNA(VLOOKUP(L$1&amp;"A"&amp;$A6,回答!$M$7:$S$256,2,FALSE),"")</f>
        <v/>
      </c>
      <c r="M6" s="7" t="str">
        <f>_xlfn.IFNA(VLOOKUP(M$1&amp;"A"&amp;$A6,回答!$M$7:$S$256,2,FALSE),"")</f>
        <v/>
      </c>
      <c r="N6" s="7" t="str">
        <f>_xlfn.IFNA(VLOOKUP(N$1&amp;"A"&amp;$A6,回答!$M$7:$S$256,2,FALSE),"")</f>
        <v/>
      </c>
    </row>
    <row r="7" spans="1:14" ht="18" customHeight="1" x14ac:dyDescent="0.4">
      <c r="A7" s="2">
        <v>3</v>
      </c>
      <c r="B7" s="1" t="str">
        <f>_xlfn.IFNA(VLOOKUP(B$1&amp;"A"&amp;$A7,回答!$M$7:$S$256,2,FALSE),"")</f>
        <v/>
      </c>
      <c r="C7" s="1" t="str">
        <f>_xlfn.IFNA(VLOOKUP(C$1&amp;"A"&amp;$A7,回答!$M$7:$S$256,2,FALSE),"")</f>
        <v/>
      </c>
      <c r="D7" s="1" t="str">
        <f>_xlfn.IFNA(VLOOKUP(D$1&amp;"A"&amp;$A7,回答!$M$7:$S$256,2,FALSE),"")</f>
        <v/>
      </c>
      <c r="E7" s="7" t="str">
        <f>_xlfn.IFNA(VLOOKUP(E$1&amp;"A"&amp;$A7,回答!$M$7:$S$256,2,FALSE),"")</f>
        <v/>
      </c>
      <c r="F7" s="7" t="str">
        <f>_xlfn.IFNA(VLOOKUP(F$1&amp;"A"&amp;$A7,回答!$M$7:$S$256,2,FALSE),"")</f>
        <v/>
      </c>
      <c r="G7" s="7" t="str">
        <f>_xlfn.IFNA(VLOOKUP(G$1&amp;"A"&amp;$A7,回答!$M$7:$S$256,2,FALSE),"")</f>
        <v/>
      </c>
      <c r="H7" s="7" t="str">
        <f>_xlfn.IFNA(VLOOKUP(H$1&amp;"A"&amp;$A7,回答!$M$7:$S$256,2,FALSE),"")</f>
        <v/>
      </c>
      <c r="I7" s="7" t="str">
        <f>_xlfn.IFNA(VLOOKUP(I$1&amp;"A"&amp;$A7,回答!$M$7:$S$256,2,FALSE),"")</f>
        <v/>
      </c>
      <c r="J7" s="7" t="str">
        <f>_xlfn.IFNA(VLOOKUP(J$1&amp;"A"&amp;$A7,回答!$M$7:$S$256,2,FALSE),"")</f>
        <v/>
      </c>
      <c r="K7" s="7" t="str">
        <f>_xlfn.IFNA(VLOOKUP(K$1&amp;"A"&amp;$A7,回答!$M$7:$S$256,2,FALSE),"")</f>
        <v/>
      </c>
      <c r="L7" s="7" t="str">
        <f>_xlfn.IFNA(VLOOKUP(L$1&amp;"A"&amp;$A7,回答!$M$7:$S$256,2,FALSE),"")</f>
        <v/>
      </c>
      <c r="M7" s="7" t="str">
        <f>_xlfn.IFNA(VLOOKUP(M$1&amp;"A"&amp;$A7,回答!$M$7:$S$256,2,FALSE),"")</f>
        <v/>
      </c>
      <c r="N7" s="7" t="str">
        <f>_xlfn.IFNA(VLOOKUP(N$1&amp;"A"&amp;$A7,回答!$M$7:$S$256,2,FALSE),"")</f>
        <v/>
      </c>
    </row>
    <row r="8" spans="1:14" ht="18" customHeight="1" x14ac:dyDescent="0.4">
      <c r="A8" s="2">
        <v>4</v>
      </c>
      <c r="B8" s="1" t="str">
        <f>_xlfn.IFNA(VLOOKUP(B$1&amp;"A"&amp;$A8,回答!$M$7:$S$256,2,FALSE),"")</f>
        <v/>
      </c>
      <c r="C8" s="1" t="str">
        <f>_xlfn.IFNA(VLOOKUP(C$1&amp;"A"&amp;$A8,回答!$M$7:$S$256,2,FALSE),"")</f>
        <v/>
      </c>
      <c r="D8" s="1" t="str">
        <f>_xlfn.IFNA(VLOOKUP(D$1&amp;"A"&amp;$A8,回答!$M$7:$S$256,2,FALSE),"")</f>
        <v/>
      </c>
      <c r="E8" s="7" t="str">
        <f>_xlfn.IFNA(VLOOKUP(E$1&amp;"A"&amp;$A8,回答!$M$7:$S$256,2,FALSE),"")</f>
        <v/>
      </c>
      <c r="F8" s="7" t="str">
        <f>_xlfn.IFNA(VLOOKUP(F$1&amp;"A"&amp;$A8,回答!$M$7:$S$256,2,FALSE),"")</f>
        <v/>
      </c>
      <c r="G8" s="7" t="str">
        <f>_xlfn.IFNA(VLOOKUP(G$1&amp;"A"&amp;$A8,回答!$M$7:$S$256,2,FALSE),"")</f>
        <v/>
      </c>
      <c r="H8" s="7" t="str">
        <f>_xlfn.IFNA(VLOOKUP(H$1&amp;"A"&amp;$A8,回答!$M$7:$S$256,2,FALSE),"")</f>
        <v/>
      </c>
      <c r="I8" s="7" t="str">
        <f>_xlfn.IFNA(VLOOKUP(I$1&amp;"A"&amp;$A8,回答!$M$7:$S$256,2,FALSE),"")</f>
        <v/>
      </c>
      <c r="J8" s="7" t="str">
        <f>_xlfn.IFNA(VLOOKUP(J$1&amp;"A"&amp;$A8,回答!$M$7:$S$256,2,FALSE),"")</f>
        <v/>
      </c>
      <c r="K8" s="7" t="str">
        <f>_xlfn.IFNA(VLOOKUP(K$1&amp;"A"&amp;$A8,回答!$M$7:$S$256,2,FALSE),"")</f>
        <v/>
      </c>
      <c r="L8" s="7" t="str">
        <f>_xlfn.IFNA(VLOOKUP(L$1&amp;"A"&amp;$A8,回答!$M$7:$S$256,2,FALSE),"")</f>
        <v/>
      </c>
      <c r="M8" s="7" t="str">
        <f>_xlfn.IFNA(VLOOKUP(M$1&amp;"A"&amp;$A8,回答!$M$7:$S$256,2,FALSE),"")</f>
        <v/>
      </c>
      <c r="N8" s="7" t="str">
        <f>_xlfn.IFNA(VLOOKUP(N$1&amp;"A"&amp;$A8,回答!$M$7:$S$256,2,FALSE),"")</f>
        <v/>
      </c>
    </row>
    <row r="9" spans="1:14" ht="18" customHeight="1" x14ac:dyDescent="0.4">
      <c r="A9" s="2">
        <v>5</v>
      </c>
      <c r="B9" s="1" t="str">
        <f>_xlfn.IFNA(VLOOKUP(B$1&amp;"A"&amp;$A9,回答!$M$7:$S$256,2,FALSE),"")</f>
        <v/>
      </c>
      <c r="C9" s="1" t="str">
        <f>_xlfn.IFNA(VLOOKUP(C$1&amp;"A"&amp;$A9,回答!$M$7:$S$256,2,FALSE),"")</f>
        <v/>
      </c>
      <c r="D9" s="1" t="str">
        <f>_xlfn.IFNA(VLOOKUP(D$1&amp;"A"&amp;$A9,回答!$M$7:$S$256,2,FALSE),"")</f>
        <v/>
      </c>
      <c r="E9" s="7" t="str">
        <f>_xlfn.IFNA(VLOOKUP(E$1&amp;"A"&amp;$A9,回答!$M$7:$S$256,2,FALSE),"")</f>
        <v/>
      </c>
      <c r="F9" s="7" t="str">
        <f>_xlfn.IFNA(VLOOKUP(F$1&amp;"A"&amp;$A9,回答!$M$7:$S$256,2,FALSE),"")</f>
        <v/>
      </c>
      <c r="G9" s="7" t="str">
        <f>_xlfn.IFNA(VLOOKUP(G$1&amp;"A"&amp;$A9,回答!$M$7:$S$256,2,FALSE),"")</f>
        <v/>
      </c>
      <c r="H9" s="7" t="str">
        <f>_xlfn.IFNA(VLOOKUP(H$1&amp;"A"&amp;$A9,回答!$M$7:$S$256,2,FALSE),"")</f>
        <v/>
      </c>
      <c r="I9" s="7" t="str">
        <f>_xlfn.IFNA(VLOOKUP(I$1&amp;"A"&amp;$A9,回答!$M$7:$S$256,2,FALSE),"")</f>
        <v/>
      </c>
      <c r="J9" s="7" t="str">
        <f>_xlfn.IFNA(VLOOKUP(J$1&amp;"A"&amp;$A9,回答!$M$7:$S$256,2,FALSE),"")</f>
        <v/>
      </c>
      <c r="K9" s="7" t="str">
        <f>_xlfn.IFNA(VLOOKUP(K$1&amp;"A"&amp;$A9,回答!$M$7:$S$256,2,FALSE),"")</f>
        <v/>
      </c>
      <c r="L9" s="7" t="str">
        <f>_xlfn.IFNA(VLOOKUP(L$1&amp;"A"&amp;$A9,回答!$M$7:$S$256,2,FALSE),"")</f>
        <v/>
      </c>
      <c r="M9" s="7" t="str">
        <f>_xlfn.IFNA(VLOOKUP(M$1&amp;"A"&amp;$A9,回答!$M$7:$S$256,2,FALSE),"")</f>
        <v/>
      </c>
      <c r="N9" s="7" t="str">
        <f>_xlfn.IFNA(VLOOKUP(N$1&amp;"A"&amp;$A9,回答!$M$7:$S$256,2,FALSE),"")</f>
        <v/>
      </c>
    </row>
    <row r="10" spans="1:14" ht="18" customHeight="1" x14ac:dyDescent="0.4">
      <c r="A10" s="2">
        <v>6</v>
      </c>
      <c r="B10" s="1" t="str">
        <f>_xlfn.IFNA(VLOOKUP(B$1&amp;"A"&amp;$A10,回答!$M$7:$S$256,2,FALSE),"")</f>
        <v/>
      </c>
      <c r="C10" s="1" t="str">
        <f>_xlfn.IFNA(VLOOKUP(C$1&amp;"A"&amp;$A10,回答!$M$7:$S$256,2,FALSE),"")</f>
        <v/>
      </c>
      <c r="D10" s="1" t="str">
        <f>_xlfn.IFNA(VLOOKUP(D$1&amp;"A"&amp;$A10,回答!$M$7:$S$256,2,FALSE),"")</f>
        <v/>
      </c>
      <c r="E10" s="7" t="str">
        <f>_xlfn.IFNA(VLOOKUP(E$1&amp;"A"&amp;$A10,回答!$M$7:$S$256,2,FALSE),"")</f>
        <v/>
      </c>
      <c r="F10" s="7" t="str">
        <f>_xlfn.IFNA(VLOOKUP(F$1&amp;"A"&amp;$A10,回答!$M$7:$S$256,2,FALSE),"")</f>
        <v/>
      </c>
      <c r="G10" s="7" t="str">
        <f>_xlfn.IFNA(VLOOKUP(G$1&amp;"A"&amp;$A10,回答!$M$7:$S$256,2,FALSE),"")</f>
        <v/>
      </c>
      <c r="H10" s="7" t="str">
        <f>_xlfn.IFNA(VLOOKUP(H$1&amp;"A"&amp;$A10,回答!$M$7:$S$256,2,FALSE),"")</f>
        <v/>
      </c>
      <c r="I10" s="7" t="str">
        <f>_xlfn.IFNA(VLOOKUP(I$1&amp;"A"&amp;$A10,回答!$M$7:$S$256,2,FALSE),"")</f>
        <v/>
      </c>
      <c r="J10" s="7" t="str">
        <f>_xlfn.IFNA(VLOOKUP(J$1&amp;"A"&amp;$A10,回答!$M$7:$S$256,2,FALSE),"")</f>
        <v/>
      </c>
      <c r="K10" s="7" t="str">
        <f>_xlfn.IFNA(VLOOKUP(K$1&amp;"A"&amp;$A10,回答!$M$7:$S$256,2,FALSE),"")</f>
        <v/>
      </c>
      <c r="L10" s="7" t="str">
        <f>_xlfn.IFNA(VLOOKUP(L$1&amp;"A"&amp;$A10,回答!$M$7:$S$256,2,FALSE),"")</f>
        <v/>
      </c>
      <c r="M10" s="7" t="str">
        <f>_xlfn.IFNA(VLOOKUP(M$1&amp;"A"&amp;$A10,回答!$M$7:$S$256,2,FALSE),"")</f>
        <v/>
      </c>
      <c r="N10" s="7" t="str">
        <f>_xlfn.IFNA(VLOOKUP(N$1&amp;"A"&amp;$A10,回答!$M$7:$S$256,2,FALSE),"")</f>
        <v/>
      </c>
    </row>
    <row r="11" spans="1:14" ht="18" customHeight="1" x14ac:dyDescent="0.4">
      <c r="A11" s="2">
        <v>7</v>
      </c>
      <c r="B11" s="1" t="str">
        <f>_xlfn.IFNA(VLOOKUP(B$1&amp;"A"&amp;$A11,回答!$M$7:$S$256,2,FALSE),"")</f>
        <v/>
      </c>
      <c r="C11" s="1" t="str">
        <f>_xlfn.IFNA(VLOOKUP(C$1&amp;"A"&amp;$A11,回答!$M$7:$S$256,2,FALSE),"")</f>
        <v/>
      </c>
      <c r="D11" s="1" t="str">
        <f>_xlfn.IFNA(VLOOKUP(D$1&amp;"A"&amp;$A11,回答!$M$7:$S$256,2,FALSE),"")</f>
        <v/>
      </c>
      <c r="E11" s="7" t="str">
        <f>_xlfn.IFNA(VLOOKUP(E$1&amp;"A"&amp;$A11,回答!$M$7:$S$256,2,FALSE),"")</f>
        <v/>
      </c>
      <c r="F11" s="7" t="str">
        <f>_xlfn.IFNA(VLOOKUP(F$1&amp;"A"&amp;$A11,回答!$M$7:$S$256,2,FALSE),"")</f>
        <v/>
      </c>
      <c r="G11" s="7" t="str">
        <f>_xlfn.IFNA(VLOOKUP(G$1&amp;"A"&amp;$A11,回答!$M$7:$S$256,2,FALSE),"")</f>
        <v/>
      </c>
      <c r="H11" s="7" t="str">
        <f>_xlfn.IFNA(VLOOKUP(H$1&amp;"A"&amp;$A11,回答!$M$7:$S$256,2,FALSE),"")</f>
        <v/>
      </c>
      <c r="I11" s="7" t="str">
        <f>_xlfn.IFNA(VLOOKUP(I$1&amp;"A"&amp;$A11,回答!$M$7:$S$256,2,FALSE),"")</f>
        <v/>
      </c>
      <c r="J11" s="7" t="str">
        <f>_xlfn.IFNA(VLOOKUP(J$1&amp;"A"&amp;$A11,回答!$M$7:$S$256,2,FALSE),"")</f>
        <v/>
      </c>
      <c r="K11" s="7" t="str">
        <f>_xlfn.IFNA(VLOOKUP(K$1&amp;"A"&amp;$A11,回答!$M$7:$S$256,2,FALSE),"")</f>
        <v/>
      </c>
      <c r="L11" s="7" t="str">
        <f>_xlfn.IFNA(VLOOKUP(L$1&amp;"A"&amp;$A11,回答!$M$7:$S$256,2,FALSE),"")</f>
        <v/>
      </c>
      <c r="M11" s="7" t="str">
        <f>_xlfn.IFNA(VLOOKUP(M$1&amp;"A"&amp;$A11,回答!$M$7:$S$256,2,FALSE),"")</f>
        <v/>
      </c>
      <c r="N11" s="7" t="str">
        <f>_xlfn.IFNA(VLOOKUP(N$1&amp;"A"&amp;$A11,回答!$M$7:$S$256,2,FALSE),"")</f>
        <v/>
      </c>
    </row>
    <row r="12" spans="1:14" ht="18" customHeight="1" x14ac:dyDescent="0.4">
      <c r="A12" s="2">
        <v>8</v>
      </c>
      <c r="B12" s="1" t="str">
        <f>_xlfn.IFNA(VLOOKUP(B$1&amp;"A"&amp;$A12,回答!$M$7:$S$256,2,FALSE),"")</f>
        <v/>
      </c>
      <c r="C12" s="1" t="str">
        <f>_xlfn.IFNA(VLOOKUP(C$1&amp;"A"&amp;$A12,回答!$M$7:$S$256,2,FALSE),"")</f>
        <v/>
      </c>
      <c r="D12" s="1" t="str">
        <f>_xlfn.IFNA(VLOOKUP(D$1&amp;"A"&amp;$A12,回答!$M$7:$S$256,2,FALSE),"")</f>
        <v/>
      </c>
      <c r="E12" s="7" t="str">
        <f>_xlfn.IFNA(VLOOKUP(E$1&amp;"A"&amp;$A12,回答!$M$7:$S$256,2,FALSE),"")</f>
        <v/>
      </c>
      <c r="F12" s="7" t="str">
        <f>_xlfn.IFNA(VLOOKUP(F$1&amp;"A"&amp;$A12,回答!$M$7:$S$256,2,FALSE),"")</f>
        <v/>
      </c>
      <c r="G12" s="7" t="str">
        <f>_xlfn.IFNA(VLOOKUP(G$1&amp;"A"&amp;$A12,回答!$M$7:$S$256,2,FALSE),"")</f>
        <v/>
      </c>
      <c r="H12" s="7" t="str">
        <f>_xlfn.IFNA(VLOOKUP(H$1&amp;"A"&amp;$A12,回答!$M$7:$S$256,2,FALSE),"")</f>
        <v/>
      </c>
      <c r="I12" s="7" t="str">
        <f>_xlfn.IFNA(VLOOKUP(I$1&amp;"A"&amp;$A12,回答!$M$7:$S$256,2,FALSE),"")</f>
        <v/>
      </c>
      <c r="J12" s="7" t="str">
        <f>_xlfn.IFNA(VLOOKUP(J$1&amp;"A"&amp;$A12,回答!$M$7:$S$256,2,FALSE),"")</f>
        <v/>
      </c>
      <c r="K12" s="7" t="str">
        <f>_xlfn.IFNA(VLOOKUP(K$1&amp;"A"&amp;$A12,回答!$M$7:$S$256,2,FALSE),"")</f>
        <v/>
      </c>
      <c r="L12" s="7" t="str">
        <f>_xlfn.IFNA(VLOOKUP(L$1&amp;"A"&amp;$A12,回答!$M$7:$S$256,2,FALSE),"")</f>
        <v/>
      </c>
      <c r="M12" s="7" t="str">
        <f>_xlfn.IFNA(VLOOKUP(M$1&amp;"A"&amp;$A12,回答!$M$7:$S$256,2,FALSE),"")</f>
        <v/>
      </c>
      <c r="N12" s="7" t="str">
        <f>_xlfn.IFNA(VLOOKUP(N$1&amp;"A"&amp;$A12,回答!$M$7:$S$256,2,FALSE),"")</f>
        <v/>
      </c>
    </row>
    <row r="13" spans="1:14" ht="18" customHeight="1" x14ac:dyDescent="0.4">
      <c r="A13" s="2">
        <v>9</v>
      </c>
      <c r="B13" s="1" t="str">
        <f>_xlfn.IFNA(VLOOKUP(B$1&amp;"A"&amp;$A13,回答!$M$7:$S$256,2,FALSE),"")</f>
        <v/>
      </c>
      <c r="C13" s="1" t="str">
        <f>_xlfn.IFNA(VLOOKUP(C$1&amp;"A"&amp;$A13,回答!$M$7:$S$256,2,FALSE),"")</f>
        <v/>
      </c>
      <c r="D13" s="1" t="str">
        <f>_xlfn.IFNA(VLOOKUP(D$1&amp;"A"&amp;$A13,回答!$M$7:$S$256,2,FALSE),"")</f>
        <v/>
      </c>
      <c r="E13" s="7" t="str">
        <f>_xlfn.IFNA(VLOOKUP(E$1&amp;"A"&amp;$A13,回答!$M$7:$S$256,2,FALSE),"")</f>
        <v/>
      </c>
      <c r="F13" s="7" t="str">
        <f>_xlfn.IFNA(VLOOKUP(F$1&amp;"A"&amp;$A13,回答!$M$7:$S$256,2,FALSE),"")</f>
        <v/>
      </c>
      <c r="G13" s="7" t="str">
        <f>_xlfn.IFNA(VLOOKUP(G$1&amp;"A"&amp;$A13,回答!$M$7:$S$256,2,FALSE),"")</f>
        <v/>
      </c>
      <c r="H13" s="7" t="str">
        <f>_xlfn.IFNA(VLOOKUP(H$1&amp;"A"&amp;$A13,回答!$M$7:$S$256,2,FALSE),"")</f>
        <v/>
      </c>
      <c r="I13" s="7" t="str">
        <f>_xlfn.IFNA(VLOOKUP(I$1&amp;"A"&amp;$A13,回答!$M$7:$S$256,2,FALSE),"")</f>
        <v/>
      </c>
      <c r="J13" s="7" t="str">
        <f>_xlfn.IFNA(VLOOKUP(J$1&amp;"A"&amp;$A13,回答!$M$7:$S$256,2,FALSE),"")</f>
        <v/>
      </c>
      <c r="K13" s="7" t="str">
        <f>_xlfn.IFNA(VLOOKUP(K$1&amp;"A"&amp;$A13,回答!$M$7:$S$256,2,FALSE),"")</f>
        <v/>
      </c>
      <c r="L13" s="7" t="str">
        <f>_xlfn.IFNA(VLOOKUP(L$1&amp;"A"&amp;$A13,回答!$M$7:$S$256,2,FALSE),"")</f>
        <v/>
      </c>
      <c r="M13" s="7" t="str">
        <f>_xlfn.IFNA(VLOOKUP(M$1&amp;"A"&amp;$A13,回答!$M$7:$S$256,2,FALSE),"")</f>
        <v/>
      </c>
      <c r="N13" s="7" t="str">
        <f>_xlfn.IFNA(VLOOKUP(N$1&amp;"A"&amp;$A13,回答!$M$7:$S$256,2,FALSE),"")</f>
        <v/>
      </c>
    </row>
    <row r="14" spans="1:14" ht="18" customHeight="1" x14ac:dyDescent="0.4">
      <c r="A14" s="2">
        <v>10</v>
      </c>
      <c r="B14" s="1" t="str">
        <f>_xlfn.IFNA(VLOOKUP(B$1&amp;"A"&amp;$A14,回答!$M$7:$S$256,2,FALSE),"")</f>
        <v/>
      </c>
      <c r="C14" s="1" t="str">
        <f>_xlfn.IFNA(VLOOKUP(C$1&amp;"A"&amp;$A14,回答!$M$7:$S$256,2,FALSE),"")</f>
        <v/>
      </c>
      <c r="D14" s="1" t="str">
        <f>_xlfn.IFNA(VLOOKUP(D$1&amp;"A"&amp;$A14,回答!$M$7:$S$256,2,FALSE),"")</f>
        <v/>
      </c>
      <c r="E14" s="7" t="str">
        <f>_xlfn.IFNA(VLOOKUP(E$1&amp;"A"&amp;$A14,回答!$M$7:$S$256,2,FALSE),"")</f>
        <v/>
      </c>
      <c r="F14" s="7" t="str">
        <f>_xlfn.IFNA(VLOOKUP(F$1&amp;"A"&amp;$A14,回答!$M$7:$S$256,2,FALSE),"")</f>
        <v/>
      </c>
      <c r="G14" s="7" t="str">
        <f>_xlfn.IFNA(VLOOKUP(G$1&amp;"A"&amp;$A14,回答!$M$7:$S$256,2,FALSE),"")</f>
        <v/>
      </c>
      <c r="H14" s="7" t="str">
        <f>_xlfn.IFNA(VLOOKUP(H$1&amp;"A"&amp;$A14,回答!$M$7:$S$256,2,FALSE),"")</f>
        <v/>
      </c>
      <c r="I14" s="7" t="str">
        <f>_xlfn.IFNA(VLOOKUP(I$1&amp;"A"&amp;$A14,回答!$M$7:$S$256,2,FALSE),"")</f>
        <v/>
      </c>
      <c r="J14" s="7" t="str">
        <f>_xlfn.IFNA(VLOOKUP(J$1&amp;"A"&amp;$A14,回答!$M$7:$S$256,2,FALSE),"")</f>
        <v/>
      </c>
      <c r="K14" s="7" t="str">
        <f>_xlfn.IFNA(VLOOKUP(K$1&amp;"A"&amp;$A14,回答!$M$7:$S$256,2,FALSE),"")</f>
        <v/>
      </c>
      <c r="L14" s="7" t="str">
        <f>_xlfn.IFNA(VLOOKUP(L$1&amp;"A"&amp;$A14,回答!$M$7:$S$256,2,FALSE),"")</f>
        <v/>
      </c>
      <c r="M14" s="7" t="str">
        <f>_xlfn.IFNA(VLOOKUP(M$1&amp;"A"&amp;$A14,回答!$M$7:$S$256,2,FALSE),"")</f>
        <v/>
      </c>
      <c r="N14" s="7" t="str">
        <f>_xlfn.IFNA(VLOOKUP(N$1&amp;"A"&amp;$A14,回答!$M$7:$S$256,2,FALSE),"")</f>
        <v/>
      </c>
    </row>
    <row r="15" spans="1:14" ht="18" customHeight="1" x14ac:dyDescent="0.4">
      <c r="A15" s="2">
        <v>11</v>
      </c>
      <c r="B15" s="1" t="str">
        <f>_xlfn.IFNA(VLOOKUP(B$1&amp;"A"&amp;$A15,回答!$M$7:$S$256,2,FALSE),"")</f>
        <v/>
      </c>
      <c r="C15" s="1" t="str">
        <f>_xlfn.IFNA(VLOOKUP(C$1&amp;"A"&amp;$A15,回答!$M$7:$S$256,2,FALSE),"")</f>
        <v/>
      </c>
      <c r="D15" s="1" t="str">
        <f>_xlfn.IFNA(VLOOKUP(D$1&amp;"A"&amp;$A15,回答!$M$7:$S$256,2,FALSE),"")</f>
        <v/>
      </c>
      <c r="E15" s="7" t="str">
        <f>_xlfn.IFNA(VLOOKUP(E$1&amp;"A"&amp;$A15,回答!$M$7:$S$256,2,FALSE),"")</f>
        <v/>
      </c>
      <c r="F15" s="7" t="str">
        <f>_xlfn.IFNA(VLOOKUP(F$1&amp;"A"&amp;$A15,回答!$M$7:$S$256,2,FALSE),"")</f>
        <v/>
      </c>
      <c r="G15" s="7" t="str">
        <f>_xlfn.IFNA(VLOOKUP(G$1&amp;"A"&amp;$A15,回答!$M$7:$S$256,2,FALSE),"")</f>
        <v/>
      </c>
      <c r="H15" s="7" t="str">
        <f>_xlfn.IFNA(VLOOKUP(H$1&amp;"A"&amp;$A15,回答!$M$7:$S$256,2,FALSE),"")</f>
        <v/>
      </c>
      <c r="I15" s="7" t="str">
        <f>_xlfn.IFNA(VLOOKUP(I$1&amp;"A"&amp;$A15,回答!$M$7:$S$256,2,FALSE),"")</f>
        <v/>
      </c>
      <c r="J15" s="7" t="str">
        <f>_xlfn.IFNA(VLOOKUP(J$1&amp;"A"&amp;$A15,回答!$M$7:$S$256,2,FALSE),"")</f>
        <v/>
      </c>
      <c r="K15" s="7" t="str">
        <f>_xlfn.IFNA(VLOOKUP(K$1&amp;"A"&amp;$A15,回答!$M$7:$S$256,2,FALSE),"")</f>
        <v/>
      </c>
      <c r="L15" s="7" t="str">
        <f>_xlfn.IFNA(VLOOKUP(L$1&amp;"A"&amp;$A15,回答!$M$7:$S$256,2,FALSE),"")</f>
        <v/>
      </c>
      <c r="M15" s="7" t="str">
        <f>_xlfn.IFNA(VLOOKUP(M$1&amp;"A"&amp;$A15,回答!$M$7:$S$256,2,FALSE),"")</f>
        <v/>
      </c>
      <c r="N15" s="7" t="str">
        <f>_xlfn.IFNA(VLOOKUP(N$1&amp;"A"&amp;$A15,回答!$M$7:$S$256,2,FALSE),"")</f>
        <v/>
      </c>
    </row>
    <row r="16" spans="1:14" ht="18" customHeight="1" x14ac:dyDescent="0.4">
      <c r="A16" s="2">
        <v>12</v>
      </c>
      <c r="B16" s="1" t="str">
        <f>_xlfn.IFNA(VLOOKUP(B$1&amp;"A"&amp;$A16,回答!$M$7:$S$256,2,FALSE),"")</f>
        <v/>
      </c>
      <c r="C16" s="1" t="str">
        <f>_xlfn.IFNA(VLOOKUP(C$1&amp;"A"&amp;$A16,回答!$M$7:$S$256,2,FALSE),"")</f>
        <v/>
      </c>
      <c r="D16" s="1" t="str">
        <f>_xlfn.IFNA(VLOOKUP(D$1&amp;"A"&amp;$A16,回答!$M$7:$S$256,2,FALSE),"")</f>
        <v/>
      </c>
      <c r="E16" s="7" t="str">
        <f>_xlfn.IFNA(VLOOKUP(E$1&amp;"A"&amp;$A16,回答!$M$7:$S$256,2,FALSE),"")</f>
        <v/>
      </c>
      <c r="F16" s="7" t="str">
        <f>_xlfn.IFNA(VLOOKUP(F$1&amp;"A"&amp;$A16,回答!$M$7:$S$256,2,FALSE),"")</f>
        <v/>
      </c>
      <c r="G16" s="7" t="str">
        <f>_xlfn.IFNA(VLOOKUP(G$1&amp;"A"&amp;$A16,回答!$M$7:$S$256,2,FALSE),"")</f>
        <v/>
      </c>
      <c r="H16" s="7" t="str">
        <f>_xlfn.IFNA(VLOOKUP(H$1&amp;"A"&amp;$A16,回答!$M$7:$S$256,2,FALSE),"")</f>
        <v/>
      </c>
      <c r="I16" s="7" t="str">
        <f>_xlfn.IFNA(VLOOKUP(I$1&amp;"A"&amp;$A16,回答!$M$7:$S$256,2,FALSE),"")</f>
        <v/>
      </c>
      <c r="J16" s="7" t="str">
        <f>_xlfn.IFNA(VLOOKUP(J$1&amp;"A"&amp;$A16,回答!$M$7:$S$256,2,FALSE),"")</f>
        <v/>
      </c>
      <c r="K16" s="7" t="str">
        <f>_xlfn.IFNA(VLOOKUP(K$1&amp;"A"&amp;$A16,回答!$M$7:$S$256,2,FALSE),"")</f>
        <v/>
      </c>
      <c r="L16" s="7" t="str">
        <f>_xlfn.IFNA(VLOOKUP(L$1&amp;"A"&amp;$A16,回答!$M$7:$S$256,2,FALSE),"")</f>
        <v/>
      </c>
      <c r="M16" s="7" t="str">
        <f>_xlfn.IFNA(VLOOKUP(M$1&amp;"A"&amp;$A16,回答!$M$7:$S$256,2,FALSE),"")</f>
        <v/>
      </c>
      <c r="N16" s="7" t="str">
        <f>_xlfn.IFNA(VLOOKUP(N$1&amp;"A"&amp;$A16,回答!$M$7:$S$256,2,FALSE),"")</f>
        <v/>
      </c>
    </row>
    <row r="17" spans="1:14" ht="18" customHeight="1" x14ac:dyDescent="0.4">
      <c r="A17" s="2">
        <v>13</v>
      </c>
      <c r="B17" s="1" t="str">
        <f>_xlfn.IFNA(VLOOKUP(B$1&amp;"A"&amp;$A17,回答!$M$7:$S$256,2,FALSE),"")</f>
        <v/>
      </c>
      <c r="C17" s="1" t="str">
        <f>_xlfn.IFNA(VLOOKUP(C$1&amp;"A"&amp;$A17,回答!$M$7:$S$256,2,FALSE),"")</f>
        <v/>
      </c>
      <c r="D17" s="1" t="str">
        <f>_xlfn.IFNA(VLOOKUP(D$1&amp;"A"&amp;$A17,回答!$M$7:$S$256,2,FALSE),"")</f>
        <v/>
      </c>
      <c r="E17" s="7" t="str">
        <f>_xlfn.IFNA(VLOOKUP(E$1&amp;"A"&amp;$A17,回答!$M$7:$S$256,2,FALSE),"")</f>
        <v/>
      </c>
      <c r="F17" s="7" t="str">
        <f>_xlfn.IFNA(VLOOKUP(F$1&amp;"A"&amp;$A17,回答!$M$7:$S$256,2,FALSE),"")</f>
        <v/>
      </c>
      <c r="G17" s="7" t="str">
        <f>_xlfn.IFNA(VLOOKUP(G$1&amp;"A"&amp;$A17,回答!$M$7:$S$256,2,FALSE),"")</f>
        <v/>
      </c>
      <c r="H17" s="7" t="str">
        <f>_xlfn.IFNA(VLOOKUP(H$1&amp;"A"&amp;$A17,回答!$M$7:$S$256,2,FALSE),"")</f>
        <v/>
      </c>
      <c r="I17" s="7" t="str">
        <f>_xlfn.IFNA(VLOOKUP(I$1&amp;"A"&amp;$A17,回答!$M$7:$S$256,2,FALSE),"")</f>
        <v/>
      </c>
      <c r="J17" s="7" t="str">
        <f>_xlfn.IFNA(VLOOKUP(J$1&amp;"A"&amp;$A17,回答!$M$7:$S$256,2,FALSE),"")</f>
        <v/>
      </c>
      <c r="K17" s="7" t="str">
        <f>_xlfn.IFNA(VLOOKUP(K$1&amp;"A"&amp;$A17,回答!$M$7:$S$256,2,FALSE),"")</f>
        <v/>
      </c>
      <c r="L17" s="7" t="str">
        <f>_xlfn.IFNA(VLOOKUP(L$1&amp;"A"&amp;$A17,回答!$M$7:$S$256,2,FALSE),"")</f>
        <v/>
      </c>
      <c r="M17" s="7" t="str">
        <f>_xlfn.IFNA(VLOOKUP(M$1&amp;"A"&amp;$A17,回答!$M$7:$S$256,2,FALSE),"")</f>
        <v/>
      </c>
      <c r="N17" s="7" t="str">
        <f>_xlfn.IFNA(VLOOKUP(N$1&amp;"A"&amp;$A17,回答!$M$7:$S$256,2,FALSE),"")</f>
        <v/>
      </c>
    </row>
    <row r="18" spans="1:14" ht="18" customHeight="1" x14ac:dyDescent="0.4">
      <c r="A18" s="2">
        <v>14</v>
      </c>
      <c r="B18" s="1" t="str">
        <f>_xlfn.IFNA(VLOOKUP(B$1&amp;"A"&amp;$A18,回答!$M$7:$S$256,2,FALSE),"")</f>
        <v/>
      </c>
      <c r="C18" s="1" t="str">
        <f>_xlfn.IFNA(VLOOKUP(C$1&amp;"A"&amp;$A18,回答!$M$7:$S$256,2,FALSE),"")</f>
        <v/>
      </c>
      <c r="D18" s="1" t="str">
        <f>_xlfn.IFNA(VLOOKUP(D$1&amp;"A"&amp;$A18,回答!$M$7:$S$256,2,FALSE),"")</f>
        <v/>
      </c>
      <c r="E18" s="7" t="str">
        <f>_xlfn.IFNA(VLOOKUP(E$1&amp;"A"&amp;$A18,回答!$M$7:$S$256,2,FALSE),"")</f>
        <v/>
      </c>
      <c r="F18" s="7" t="str">
        <f>_xlfn.IFNA(VLOOKUP(F$1&amp;"A"&amp;$A18,回答!$M$7:$S$256,2,FALSE),"")</f>
        <v/>
      </c>
      <c r="G18" s="7" t="str">
        <f>_xlfn.IFNA(VLOOKUP(G$1&amp;"A"&amp;$A18,回答!$M$7:$S$256,2,FALSE),"")</f>
        <v/>
      </c>
      <c r="H18" s="7" t="str">
        <f>_xlfn.IFNA(VLOOKUP(H$1&amp;"A"&amp;$A18,回答!$M$7:$S$256,2,FALSE),"")</f>
        <v/>
      </c>
      <c r="I18" s="7" t="str">
        <f>_xlfn.IFNA(VLOOKUP(I$1&amp;"A"&amp;$A18,回答!$M$7:$S$256,2,FALSE),"")</f>
        <v/>
      </c>
      <c r="J18" s="7" t="str">
        <f>_xlfn.IFNA(VLOOKUP(J$1&amp;"A"&amp;$A18,回答!$M$7:$S$256,2,FALSE),"")</f>
        <v/>
      </c>
      <c r="K18" s="7" t="str">
        <f>_xlfn.IFNA(VLOOKUP(K$1&amp;"A"&amp;$A18,回答!$M$7:$S$256,2,FALSE),"")</f>
        <v/>
      </c>
      <c r="L18" s="7" t="str">
        <f>_xlfn.IFNA(VLOOKUP(L$1&amp;"A"&amp;$A18,回答!$M$7:$S$256,2,FALSE),"")</f>
        <v/>
      </c>
      <c r="M18" s="7" t="str">
        <f>_xlfn.IFNA(VLOOKUP(M$1&amp;"A"&amp;$A18,回答!$M$7:$S$256,2,FALSE),"")</f>
        <v/>
      </c>
      <c r="N18" s="7" t="str">
        <f>_xlfn.IFNA(VLOOKUP(N$1&amp;"A"&amp;$A18,回答!$M$7:$S$256,2,FALSE),"")</f>
        <v/>
      </c>
    </row>
    <row r="19" spans="1:14" ht="18" customHeight="1" thickBot="1" x14ac:dyDescent="0.45">
      <c r="A19" s="9">
        <v>15</v>
      </c>
      <c r="B19" s="10" t="str">
        <f>_xlfn.IFNA(VLOOKUP(B$1&amp;"A"&amp;$A19,回答!$M$7:$S$256,2,FALSE),"")</f>
        <v/>
      </c>
      <c r="C19" s="10" t="str">
        <f>_xlfn.IFNA(VLOOKUP(C$1&amp;"A"&amp;$A19,回答!$M$7:$S$256,2,FALSE),"")</f>
        <v/>
      </c>
      <c r="D19" s="10" t="str">
        <f>_xlfn.IFNA(VLOOKUP(D$1&amp;"A"&amp;$A19,回答!$M$7:$S$256,2,FALSE),"")</f>
        <v/>
      </c>
      <c r="E19" s="11" t="str">
        <f>_xlfn.IFNA(VLOOKUP(E$1&amp;"A"&amp;$A19,回答!$M$7:$S$256,2,FALSE),"")</f>
        <v/>
      </c>
      <c r="F19" s="11" t="str">
        <f>_xlfn.IFNA(VLOOKUP(F$1&amp;"A"&amp;$A19,回答!$M$7:$S$256,2,FALSE),"")</f>
        <v/>
      </c>
      <c r="G19" s="11" t="str">
        <f>_xlfn.IFNA(VLOOKUP(G$1&amp;"A"&amp;$A19,回答!$M$7:$S$256,2,FALSE),"")</f>
        <v/>
      </c>
      <c r="H19" s="11" t="str">
        <f>_xlfn.IFNA(VLOOKUP(H$1&amp;"A"&amp;$A19,回答!$M$7:$S$256,2,FALSE),"")</f>
        <v/>
      </c>
      <c r="I19" s="11" t="str">
        <f>_xlfn.IFNA(VLOOKUP(I$1&amp;"A"&amp;$A19,回答!$M$7:$S$256,2,FALSE),"")</f>
        <v/>
      </c>
      <c r="J19" s="11" t="str">
        <f>_xlfn.IFNA(VLOOKUP(J$1&amp;"A"&amp;$A19,回答!$M$7:$S$256,2,FALSE),"")</f>
        <v/>
      </c>
      <c r="K19" s="11" t="str">
        <f>_xlfn.IFNA(VLOOKUP(K$1&amp;"A"&amp;$A19,回答!$M$7:$S$256,2,FALSE),"")</f>
        <v/>
      </c>
      <c r="L19" s="11" t="str">
        <f>_xlfn.IFNA(VLOOKUP(L$1&amp;"A"&amp;$A19,回答!$M$7:$S$256,2,FALSE),"")</f>
        <v/>
      </c>
      <c r="M19" s="11" t="str">
        <f>_xlfn.IFNA(VLOOKUP(M$1&amp;"A"&amp;$A19,回答!$M$7:$S$256,2,FALSE),"")</f>
        <v/>
      </c>
      <c r="N19" s="11" t="str">
        <f>_xlfn.IFNA(VLOOKUP(N$1&amp;"A"&amp;$A19,回答!$M$7:$S$256,2,FALSE),"")</f>
        <v/>
      </c>
    </row>
    <row r="20" spans="1:14" ht="18" customHeight="1" thickTop="1" x14ac:dyDescent="0.4">
      <c r="A20" s="15">
        <v>1</v>
      </c>
      <c r="B20" s="16" t="str">
        <f>_xlfn.IFNA(VLOOKUP(B$1&amp;"B"&amp;$A20,回答!$M$7:$S$256,2,FALSE),"")</f>
        <v/>
      </c>
      <c r="C20" s="16" t="str">
        <f>_xlfn.IFNA(VLOOKUP(C$1&amp;"B"&amp;$A20,回答!$M$7:$S$256,2,FALSE),"")</f>
        <v/>
      </c>
      <c r="D20" s="16" t="str">
        <f>_xlfn.IFNA(VLOOKUP(D$1&amp;"B"&amp;$A20,回答!$M$7:$S$256,2,FALSE),"")</f>
        <v>******</v>
      </c>
      <c r="E20" s="17" t="str">
        <f>_xlfn.IFNA(VLOOKUP(E$1&amp;"B"&amp;$A20,回答!$M$7:$S$256,2,FALSE),"")</f>
        <v/>
      </c>
      <c r="F20" s="17" t="str">
        <f>_xlfn.IFNA(VLOOKUP(F$1&amp;"B"&amp;$A20,回答!$M$7:$S$256,2,FALSE),"")</f>
        <v/>
      </c>
      <c r="G20" s="17" t="str">
        <f>_xlfn.IFNA(VLOOKUP(G$1&amp;"B"&amp;$A20,回答!$M$7:$S$256,2,FALSE),"")</f>
        <v/>
      </c>
      <c r="H20" s="17" t="str">
        <f>_xlfn.IFNA(VLOOKUP(H$1&amp;"B"&amp;$A20,回答!$M$7:$S$256,2,FALSE),"")</f>
        <v/>
      </c>
      <c r="I20" s="17" t="str">
        <f>_xlfn.IFNA(VLOOKUP(I$1&amp;"B"&amp;$A20,回答!$M$7:$S$256,2,FALSE),"")</f>
        <v/>
      </c>
      <c r="J20" s="17" t="str">
        <f>_xlfn.IFNA(VLOOKUP(J$1&amp;"B"&amp;$A20,回答!$M$7:$S$256,2,FALSE),"")</f>
        <v/>
      </c>
      <c r="K20" s="17" t="str">
        <f>_xlfn.IFNA(VLOOKUP(K$1&amp;"B"&amp;$A20,回答!$M$7:$S$256,2,FALSE),"")</f>
        <v/>
      </c>
      <c r="L20" s="17" t="str">
        <f>_xlfn.IFNA(VLOOKUP(L$1&amp;"B"&amp;$A20,回答!$M$7:$S$256,2,FALSE),"")</f>
        <v/>
      </c>
      <c r="M20" s="17" t="str">
        <f>_xlfn.IFNA(VLOOKUP(M$1&amp;"B"&amp;$A20,回答!$M$7:$S$256,2,FALSE),"")</f>
        <v/>
      </c>
      <c r="N20" s="17" t="str">
        <f>_xlfn.IFNA(VLOOKUP(N$1&amp;"B"&amp;$A20,回答!$M$7:$S$256,2,FALSE),"")</f>
        <v/>
      </c>
    </row>
    <row r="21" spans="1:14" ht="18" customHeight="1" x14ac:dyDescent="0.4">
      <c r="A21" s="2">
        <v>2</v>
      </c>
      <c r="B21" s="1" t="str">
        <f>_xlfn.IFNA(VLOOKUP(B$1&amp;"B"&amp;$A21,回答!$M$7:$S$256,2,FALSE),"")</f>
        <v/>
      </c>
      <c r="C21" s="1" t="str">
        <f>_xlfn.IFNA(VLOOKUP(C$1&amp;"B"&amp;$A21,回答!$M$7:$S$256,2,FALSE),"")</f>
        <v/>
      </c>
      <c r="D21" s="1" t="str">
        <f>_xlfn.IFNA(VLOOKUP(D$1&amp;"B"&amp;$A21,回答!$M$7:$S$256,2,FALSE),"")</f>
        <v/>
      </c>
      <c r="E21" s="7" t="str">
        <f>_xlfn.IFNA(VLOOKUP(E$1&amp;"B"&amp;$A21,回答!$M$7:$S$256,2,FALSE),"")</f>
        <v/>
      </c>
      <c r="F21" s="7" t="str">
        <f>_xlfn.IFNA(VLOOKUP(F$1&amp;"B"&amp;$A21,回答!$M$7:$S$256,2,FALSE),"")</f>
        <v/>
      </c>
      <c r="G21" s="7" t="str">
        <f>_xlfn.IFNA(VLOOKUP(G$1&amp;"B"&amp;$A21,回答!$M$7:$S$256,2,FALSE),"")</f>
        <v/>
      </c>
      <c r="H21" s="7" t="str">
        <f>_xlfn.IFNA(VLOOKUP(H$1&amp;"B"&amp;$A21,回答!$M$7:$S$256,2,FALSE),"")</f>
        <v/>
      </c>
      <c r="I21" s="7" t="str">
        <f>_xlfn.IFNA(VLOOKUP(I$1&amp;"B"&amp;$A21,回答!$M$7:$S$256,2,FALSE),"")</f>
        <v/>
      </c>
      <c r="J21" s="7" t="str">
        <f>_xlfn.IFNA(VLOOKUP(J$1&amp;"B"&amp;$A21,回答!$M$7:$S$256,2,FALSE),"")</f>
        <v/>
      </c>
      <c r="K21" s="7" t="str">
        <f>_xlfn.IFNA(VLOOKUP(K$1&amp;"B"&amp;$A21,回答!$M$7:$S$256,2,FALSE),"")</f>
        <v/>
      </c>
      <c r="L21" s="7" t="str">
        <f>_xlfn.IFNA(VLOOKUP(L$1&amp;"B"&amp;$A21,回答!$M$7:$S$256,2,FALSE),"")</f>
        <v/>
      </c>
      <c r="M21" s="7" t="str">
        <f>_xlfn.IFNA(VLOOKUP(M$1&amp;"B"&amp;$A21,回答!$M$7:$S$256,2,FALSE),"")</f>
        <v/>
      </c>
      <c r="N21" s="7" t="str">
        <f>_xlfn.IFNA(VLOOKUP(N$1&amp;"B"&amp;$A21,回答!$M$7:$S$256,2,FALSE),"")</f>
        <v/>
      </c>
    </row>
    <row r="22" spans="1:14" ht="18" customHeight="1" x14ac:dyDescent="0.4">
      <c r="A22" s="2">
        <v>3</v>
      </c>
      <c r="B22" s="1" t="str">
        <f>_xlfn.IFNA(VLOOKUP(B$1&amp;"B"&amp;$A22,回答!$M$7:$S$256,2,FALSE),"")</f>
        <v/>
      </c>
      <c r="C22" s="1" t="str">
        <f>_xlfn.IFNA(VLOOKUP(C$1&amp;"B"&amp;$A22,回答!$M$7:$S$256,2,FALSE),"")</f>
        <v/>
      </c>
      <c r="D22" s="1" t="str">
        <f>_xlfn.IFNA(VLOOKUP(D$1&amp;"B"&amp;$A22,回答!$M$7:$S$256,2,FALSE),"")</f>
        <v/>
      </c>
      <c r="E22" s="7" t="str">
        <f>_xlfn.IFNA(VLOOKUP(E$1&amp;"B"&amp;$A22,回答!$M$7:$S$256,2,FALSE),"")</f>
        <v/>
      </c>
      <c r="F22" s="7" t="str">
        <f>_xlfn.IFNA(VLOOKUP(F$1&amp;"B"&amp;$A22,回答!$M$7:$S$256,2,FALSE),"")</f>
        <v/>
      </c>
      <c r="G22" s="7" t="str">
        <f>_xlfn.IFNA(VLOOKUP(G$1&amp;"B"&amp;$A22,回答!$M$7:$S$256,2,FALSE),"")</f>
        <v/>
      </c>
      <c r="H22" s="7" t="str">
        <f>_xlfn.IFNA(VLOOKUP(H$1&amp;"B"&amp;$A22,回答!$M$7:$S$256,2,FALSE),"")</f>
        <v/>
      </c>
      <c r="I22" s="7" t="str">
        <f>_xlfn.IFNA(VLOOKUP(I$1&amp;"B"&amp;$A22,回答!$M$7:$S$256,2,FALSE),"")</f>
        <v/>
      </c>
      <c r="J22" s="7" t="str">
        <f>_xlfn.IFNA(VLOOKUP(J$1&amp;"B"&amp;$A22,回答!$M$7:$S$256,2,FALSE),"")</f>
        <v/>
      </c>
      <c r="K22" s="7" t="str">
        <f>_xlfn.IFNA(VLOOKUP(K$1&amp;"B"&amp;$A22,回答!$M$7:$S$256,2,FALSE),"")</f>
        <v/>
      </c>
      <c r="L22" s="7" t="str">
        <f>_xlfn.IFNA(VLOOKUP(L$1&amp;"B"&amp;$A22,回答!$M$7:$S$256,2,FALSE),"")</f>
        <v/>
      </c>
      <c r="M22" s="7" t="str">
        <f>_xlfn.IFNA(VLOOKUP(M$1&amp;"B"&amp;$A22,回答!$M$7:$S$256,2,FALSE),"")</f>
        <v/>
      </c>
      <c r="N22" s="7" t="str">
        <f>_xlfn.IFNA(VLOOKUP(N$1&amp;"B"&amp;$A22,回答!$M$7:$S$256,2,FALSE),"")</f>
        <v/>
      </c>
    </row>
    <row r="23" spans="1:14" ht="18" customHeight="1" x14ac:dyDescent="0.4">
      <c r="A23" s="2">
        <v>4</v>
      </c>
      <c r="B23" s="1" t="str">
        <f>_xlfn.IFNA(VLOOKUP(B$1&amp;"B"&amp;$A23,回答!$M$7:$S$256,2,FALSE),"")</f>
        <v/>
      </c>
      <c r="C23" s="1" t="str">
        <f>_xlfn.IFNA(VLOOKUP(C$1&amp;"B"&amp;$A23,回答!$M$7:$S$256,2,FALSE),"")</f>
        <v/>
      </c>
      <c r="D23" s="1" t="str">
        <f>_xlfn.IFNA(VLOOKUP(D$1&amp;"B"&amp;$A23,回答!$M$7:$S$256,2,FALSE),"")</f>
        <v/>
      </c>
      <c r="E23" s="7" t="str">
        <f>_xlfn.IFNA(VLOOKUP(E$1&amp;"B"&amp;$A23,回答!$M$7:$S$256,2,FALSE),"")</f>
        <v/>
      </c>
      <c r="F23" s="7" t="str">
        <f>_xlfn.IFNA(VLOOKUP(F$1&amp;"B"&amp;$A23,回答!$M$7:$S$256,2,FALSE),"")</f>
        <v/>
      </c>
      <c r="G23" s="7" t="str">
        <f>_xlfn.IFNA(VLOOKUP(G$1&amp;"B"&amp;$A23,回答!$M$7:$S$256,2,FALSE),"")</f>
        <v/>
      </c>
      <c r="H23" s="7" t="str">
        <f>_xlfn.IFNA(VLOOKUP(H$1&amp;"B"&amp;$A23,回答!$M$7:$S$256,2,FALSE),"")</f>
        <v/>
      </c>
      <c r="I23" s="7" t="str">
        <f>_xlfn.IFNA(VLOOKUP(I$1&amp;"B"&amp;$A23,回答!$M$7:$S$256,2,FALSE),"")</f>
        <v/>
      </c>
      <c r="J23" s="7" t="str">
        <f>_xlfn.IFNA(VLOOKUP(J$1&amp;"B"&amp;$A23,回答!$M$7:$S$256,2,FALSE),"")</f>
        <v/>
      </c>
      <c r="K23" s="7" t="str">
        <f>_xlfn.IFNA(VLOOKUP(K$1&amp;"B"&amp;$A23,回答!$M$7:$S$256,2,FALSE),"")</f>
        <v/>
      </c>
      <c r="L23" s="7" t="str">
        <f>_xlfn.IFNA(VLOOKUP(L$1&amp;"B"&amp;$A23,回答!$M$7:$S$256,2,FALSE),"")</f>
        <v/>
      </c>
      <c r="M23" s="7" t="str">
        <f>_xlfn.IFNA(VLOOKUP(M$1&amp;"B"&amp;$A23,回答!$M$7:$S$256,2,FALSE),"")</f>
        <v/>
      </c>
      <c r="N23" s="7" t="str">
        <f>_xlfn.IFNA(VLOOKUP(N$1&amp;"B"&amp;$A23,回答!$M$7:$S$256,2,FALSE),"")</f>
        <v/>
      </c>
    </row>
    <row r="24" spans="1:14" ht="18" customHeight="1" x14ac:dyDescent="0.4">
      <c r="A24" s="2">
        <v>5</v>
      </c>
      <c r="B24" s="1" t="str">
        <f>_xlfn.IFNA(VLOOKUP(B$1&amp;"B"&amp;$A24,回答!$M$7:$S$256,2,FALSE),"")</f>
        <v/>
      </c>
      <c r="C24" s="1" t="str">
        <f>_xlfn.IFNA(VLOOKUP(C$1&amp;"B"&amp;$A24,回答!$M$7:$S$256,2,FALSE),"")</f>
        <v/>
      </c>
      <c r="D24" s="1" t="str">
        <f>_xlfn.IFNA(VLOOKUP(D$1&amp;"B"&amp;$A24,回答!$M$7:$S$256,2,FALSE),"")</f>
        <v/>
      </c>
      <c r="E24" s="7" t="str">
        <f>_xlfn.IFNA(VLOOKUP(E$1&amp;"B"&amp;$A24,回答!$M$7:$S$256,2,FALSE),"")</f>
        <v/>
      </c>
      <c r="F24" s="7" t="str">
        <f>_xlfn.IFNA(VLOOKUP(F$1&amp;"B"&amp;$A24,回答!$M$7:$S$256,2,FALSE),"")</f>
        <v/>
      </c>
      <c r="G24" s="7" t="str">
        <f>_xlfn.IFNA(VLOOKUP(G$1&amp;"B"&amp;$A24,回答!$M$7:$S$256,2,FALSE),"")</f>
        <v/>
      </c>
      <c r="H24" s="7" t="str">
        <f>_xlfn.IFNA(VLOOKUP(H$1&amp;"B"&amp;$A24,回答!$M$7:$S$256,2,FALSE),"")</f>
        <v/>
      </c>
      <c r="I24" s="7" t="str">
        <f>_xlfn.IFNA(VLOOKUP(I$1&amp;"B"&amp;$A24,回答!$M$7:$S$256,2,FALSE),"")</f>
        <v/>
      </c>
      <c r="J24" s="7" t="str">
        <f>_xlfn.IFNA(VLOOKUP(J$1&amp;"B"&amp;$A24,回答!$M$7:$S$256,2,FALSE),"")</f>
        <v/>
      </c>
      <c r="K24" s="7" t="str">
        <f>_xlfn.IFNA(VLOOKUP(K$1&amp;"B"&amp;$A24,回答!$M$7:$S$256,2,FALSE),"")</f>
        <v/>
      </c>
      <c r="L24" s="7" t="str">
        <f>_xlfn.IFNA(VLOOKUP(L$1&amp;"B"&amp;$A24,回答!$M$7:$S$256,2,FALSE),"")</f>
        <v/>
      </c>
      <c r="M24" s="7" t="str">
        <f>_xlfn.IFNA(VLOOKUP(M$1&amp;"B"&amp;$A24,回答!$M$7:$S$256,2,FALSE),"")</f>
        <v/>
      </c>
      <c r="N24" s="7" t="str">
        <f>_xlfn.IFNA(VLOOKUP(N$1&amp;"B"&amp;$A24,回答!$M$7:$S$256,2,FALSE),"")</f>
        <v/>
      </c>
    </row>
    <row r="25" spans="1:14" ht="18" customHeight="1" x14ac:dyDescent="0.4">
      <c r="A25" s="2">
        <v>6</v>
      </c>
      <c r="B25" s="1" t="str">
        <f>_xlfn.IFNA(VLOOKUP(B$1&amp;"B"&amp;$A25,回答!$M$7:$S$256,2,FALSE),"")</f>
        <v/>
      </c>
      <c r="C25" s="1" t="str">
        <f>_xlfn.IFNA(VLOOKUP(C$1&amp;"B"&amp;$A25,回答!$M$7:$S$256,2,FALSE),"")</f>
        <v/>
      </c>
      <c r="D25" s="1" t="str">
        <f>_xlfn.IFNA(VLOOKUP(D$1&amp;"B"&amp;$A25,回答!$M$7:$S$256,2,FALSE),"")</f>
        <v/>
      </c>
      <c r="E25" s="7" t="str">
        <f>_xlfn.IFNA(VLOOKUP(E$1&amp;"B"&amp;$A25,回答!$M$7:$S$256,2,FALSE),"")</f>
        <v/>
      </c>
      <c r="F25" s="7" t="str">
        <f>_xlfn.IFNA(VLOOKUP(F$1&amp;"B"&amp;$A25,回答!$M$7:$S$256,2,FALSE),"")</f>
        <v/>
      </c>
      <c r="G25" s="7" t="str">
        <f>_xlfn.IFNA(VLOOKUP(G$1&amp;"B"&amp;$A25,回答!$M$7:$S$256,2,FALSE),"")</f>
        <v/>
      </c>
      <c r="H25" s="7" t="str">
        <f>_xlfn.IFNA(VLOOKUP(H$1&amp;"B"&amp;$A25,回答!$M$7:$S$256,2,FALSE),"")</f>
        <v/>
      </c>
      <c r="I25" s="7" t="str">
        <f>_xlfn.IFNA(VLOOKUP(I$1&amp;"B"&amp;$A25,回答!$M$7:$S$256,2,FALSE),"")</f>
        <v/>
      </c>
      <c r="J25" s="7" t="str">
        <f>_xlfn.IFNA(VLOOKUP(J$1&amp;"B"&amp;$A25,回答!$M$7:$S$256,2,FALSE),"")</f>
        <v/>
      </c>
      <c r="K25" s="7" t="str">
        <f>_xlfn.IFNA(VLOOKUP(K$1&amp;"B"&amp;$A25,回答!$M$7:$S$256,2,FALSE),"")</f>
        <v/>
      </c>
      <c r="L25" s="7" t="str">
        <f>_xlfn.IFNA(VLOOKUP(L$1&amp;"B"&amp;$A25,回答!$M$7:$S$256,2,FALSE),"")</f>
        <v/>
      </c>
      <c r="M25" s="7" t="str">
        <f>_xlfn.IFNA(VLOOKUP(M$1&amp;"B"&amp;$A25,回答!$M$7:$S$256,2,FALSE),"")</f>
        <v/>
      </c>
      <c r="N25" s="7" t="str">
        <f>_xlfn.IFNA(VLOOKUP(N$1&amp;"B"&amp;$A25,回答!$M$7:$S$256,2,FALSE),"")</f>
        <v/>
      </c>
    </row>
    <row r="26" spans="1:14" ht="18" customHeight="1" thickBot="1" x14ac:dyDescent="0.45">
      <c r="A26" s="2">
        <v>7</v>
      </c>
      <c r="B26" s="1" t="str">
        <f>_xlfn.IFNA(VLOOKUP(B$1&amp;"B"&amp;$A26,回答!$M$7:$S$256,2,FALSE),"")</f>
        <v/>
      </c>
      <c r="C26" s="1" t="str">
        <f>_xlfn.IFNA(VLOOKUP(C$1&amp;"B"&amp;$A26,回答!$M$7:$S$256,2,FALSE),"")</f>
        <v/>
      </c>
      <c r="D26" s="1" t="str">
        <f>_xlfn.IFNA(VLOOKUP(D$1&amp;"B"&amp;$A26,回答!$M$7:$S$256,2,FALSE),"")</f>
        <v/>
      </c>
      <c r="E26" s="18" t="str">
        <f>_xlfn.IFNA(VLOOKUP(E$1&amp;"B"&amp;$A26,回答!$M$7:$S$256,2,FALSE),"")</f>
        <v/>
      </c>
      <c r="F26" s="18" t="str">
        <f>_xlfn.IFNA(VLOOKUP(F$1&amp;"B"&amp;$A26,回答!$M$7:$S$256,2,FALSE),"")</f>
        <v/>
      </c>
      <c r="G26" s="18" t="str">
        <f>_xlfn.IFNA(VLOOKUP(G$1&amp;"B"&amp;$A26,回答!$M$7:$S$256,2,FALSE),"")</f>
        <v/>
      </c>
      <c r="H26" s="18" t="str">
        <f>_xlfn.IFNA(VLOOKUP(H$1&amp;"B"&amp;$A26,回答!$M$7:$S$256,2,FALSE),"")</f>
        <v/>
      </c>
      <c r="I26" s="18" t="str">
        <f>_xlfn.IFNA(VLOOKUP(I$1&amp;"B"&amp;$A26,回答!$M$7:$S$256,2,FALSE),"")</f>
        <v/>
      </c>
      <c r="J26" s="18" t="str">
        <f>_xlfn.IFNA(VLOOKUP(J$1&amp;"B"&amp;$A26,回答!$M$7:$S$256,2,FALSE),"")</f>
        <v/>
      </c>
      <c r="K26" s="18" t="str">
        <f>_xlfn.IFNA(VLOOKUP(K$1&amp;"B"&amp;$A26,回答!$M$7:$S$256,2,FALSE),"")</f>
        <v/>
      </c>
      <c r="L26" s="18" t="str">
        <f>_xlfn.IFNA(VLOOKUP(L$1&amp;"B"&amp;$A26,回答!$M$7:$S$256,2,FALSE),"")</f>
        <v/>
      </c>
      <c r="M26" s="18" t="str">
        <f>_xlfn.IFNA(VLOOKUP(M$1&amp;"B"&amp;$A26,回答!$M$7:$S$256,2,FALSE),"")</f>
        <v/>
      </c>
      <c r="N26" s="18" t="str">
        <f>_xlfn.IFNA(VLOOKUP(N$1&amp;"B"&amp;$A26,回答!$M$7:$S$256,2,FALSE),"")</f>
        <v/>
      </c>
    </row>
    <row r="27" spans="1:14" ht="19.5" thickTop="1" x14ac:dyDescent="0.4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</row>
  </sheetData>
  <phoneticPr fontId="2"/>
  <conditionalFormatting sqref="B1:D4 N1:N4">
    <cfRule type="cellIs" dxfId="30" priority="20" operator="equal">
      <formula>0</formula>
    </cfRule>
  </conditionalFormatting>
  <conditionalFormatting sqref="B5:D19 N5:N19">
    <cfRule type="expression" dxfId="29" priority="11">
      <formula>(B$2=$A5)</formula>
    </cfRule>
    <cfRule type="expression" dxfId="28" priority="12">
      <formula>(B$3=$A5)</formula>
    </cfRule>
    <cfRule type="containsText" dxfId="27" priority="14" stopIfTrue="1" operator="containsText" text="!">
      <formula>NOT(ISERROR(SEARCH("!",B5)))</formula>
    </cfRule>
    <cfRule type="notContainsBlanks" dxfId="26" priority="15" stopIfTrue="1">
      <formula>LEN(TRIM(B5))&gt;0</formula>
    </cfRule>
    <cfRule type="expression" dxfId="25" priority="17">
      <formula>(B$2=$A5)</formula>
    </cfRule>
    <cfRule type="expression" dxfId="24" priority="18">
      <formula>(B$3=$A5)</formula>
    </cfRule>
  </conditionalFormatting>
  <conditionalFormatting sqref="B20:D26 N20:N26">
    <cfRule type="expression" dxfId="23" priority="13">
      <formula>(B$4=$A20)</formula>
    </cfRule>
    <cfRule type="notContainsBlanks" dxfId="22" priority="16" stopIfTrue="1">
      <formula>LEN(TRIM(B20))&gt;0</formula>
    </cfRule>
    <cfRule type="expression" dxfId="21" priority="19">
      <formula>(B$4=$A20)</formula>
    </cfRule>
  </conditionalFormatting>
  <conditionalFormatting sqref="E1:M4">
    <cfRule type="cellIs" dxfId="20" priority="10" operator="equal">
      <formula>0</formula>
    </cfRule>
  </conditionalFormatting>
  <conditionalFormatting sqref="E5:M19">
    <cfRule type="expression" dxfId="19" priority="1">
      <formula>(E$2=$A5)</formula>
    </cfRule>
    <cfRule type="expression" dxfId="18" priority="2">
      <formula>(E$3=$A5)</formula>
    </cfRule>
    <cfRule type="containsText" dxfId="17" priority="4" stopIfTrue="1" operator="containsText" text="!">
      <formula>NOT(ISERROR(SEARCH("!",E5)))</formula>
    </cfRule>
    <cfRule type="notContainsBlanks" dxfId="16" priority="5" stopIfTrue="1">
      <formula>LEN(TRIM(E5))&gt;0</formula>
    </cfRule>
    <cfRule type="expression" dxfId="15" priority="7">
      <formula>(E$2=$A5)</formula>
    </cfRule>
    <cfRule type="expression" dxfId="14" priority="8">
      <formula>(E$3=$A5)</formula>
    </cfRule>
  </conditionalFormatting>
  <conditionalFormatting sqref="E20:M26">
    <cfRule type="expression" dxfId="13" priority="3">
      <formula>(E$4=$A20)</formula>
    </cfRule>
    <cfRule type="notContainsBlanks" dxfId="12" priority="6" stopIfTrue="1">
      <formula>LEN(TRIM(E20))&gt;0</formula>
    </cfRule>
    <cfRule type="expression" dxfId="11" priority="9">
      <formula>(E$4=$A20)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C7E4C-5D81-46A2-B6D1-CA2E40C4164A}">
  <sheetPr codeName="Sheet5"/>
  <dimension ref="A1:M45"/>
  <sheetViews>
    <sheetView zoomScale="85" zoomScaleNormal="85" workbookViewId="0">
      <selection activeCell="H3" sqref="H3"/>
    </sheetView>
  </sheetViews>
  <sheetFormatPr defaultRowHeight="18.75" x14ac:dyDescent="0.4"/>
  <cols>
    <col min="2" max="2" width="9.625" customWidth="1"/>
    <col min="3" max="3" width="15.625" customWidth="1"/>
    <col min="4" max="4" width="10.625" customWidth="1"/>
    <col min="5" max="5" width="15.625" customWidth="1"/>
    <col min="6" max="6" width="10.625" customWidth="1"/>
    <col min="7" max="7" width="15.625" customWidth="1"/>
    <col min="8" max="8" width="10.625" customWidth="1"/>
    <col min="9" max="9" width="15.625" customWidth="1"/>
    <col min="10" max="10" width="10.625" customWidth="1"/>
    <col min="11" max="11" width="15.625" customWidth="1"/>
    <col min="12" max="12" width="10.625" customWidth="1"/>
    <col min="13" max="13" width="15.625" customWidth="1"/>
  </cols>
  <sheetData>
    <row r="1" spans="1:13" x14ac:dyDescent="0.4">
      <c r="A1" s="22"/>
      <c r="B1">
        <v>1</v>
      </c>
      <c r="C1" s="23">
        <f>B1</f>
        <v>1</v>
      </c>
      <c r="D1">
        <v>2</v>
      </c>
      <c r="E1" s="23">
        <f>D1</f>
        <v>2</v>
      </c>
      <c r="F1">
        <v>3</v>
      </c>
      <c r="G1" s="23">
        <f>F1</f>
        <v>3</v>
      </c>
      <c r="H1">
        <v>4</v>
      </c>
      <c r="I1" s="23">
        <f>H1</f>
        <v>4</v>
      </c>
      <c r="J1">
        <v>5</v>
      </c>
      <c r="K1" s="23">
        <f>J1</f>
        <v>5</v>
      </c>
      <c r="L1">
        <v>6</v>
      </c>
      <c r="M1" s="23">
        <f>L1</f>
        <v>6</v>
      </c>
    </row>
    <row r="2" spans="1:13" ht="19.5" thickBot="1" x14ac:dyDescent="0.45">
      <c r="A2" s="21" t="s">
        <v>0</v>
      </c>
      <c r="B2" s="14" t="str">
        <f>IFERROR(INDEX(研究室[研究室名],B1),"-")</f>
        <v>A研</v>
      </c>
      <c r="C2" s="24" t="str">
        <f>IFERROR(INDEX(研究室[研究室名],C1),"-")</f>
        <v>A研</v>
      </c>
      <c r="D2" s="14" t="str">
        <f>IFERROR(INDEX(研究室[研究室名],D1),"-")</f>
        <v>B研</v>
      </c>
      <c r="E2" s="24" t="str">
        <f>IFERROR(INDEX(研究室[研究室名],E1),"-")</f>
        <v>B研</v>
      </c>
      <c r="F2" s="14" t="str">
        <f>IFERROR(INDEX(研究室[研究室名],F1),"-")</f>
        <v>C研</v>
      </c>
      <c r="G2" s="24" t="str">
        <f>IFERROR(INDEX(研究室[研究室名],G1),"-")</f>
        <v>C研</v>
      </c>
      <c r="H2" s="14" t="str">
        <f>IFERROR(INDEX(研究室[研究室名],H1),"-")</f>
        <v>-</v>
      </c>
      <c r="I2" s="24" t="str">
        <f>IFERROR(INDEX(研究室[研究室名],I1),"-")</f>
        <v>-</v>
      </c>
      <c r="J2" s="14" t="str">
        <f>IFERROR(INDEX(研究室[研究室名],J1),"-")</f>
        <v>-</v>
      </c>
      <c r="K2" s="24" t="str">
        <f>IFERROR(INDEX(研究室[研究室名],K1),"-")</f>
        <v>-</v>
      </c>
      <c r="L2" s="14" t="str">
        <f>IFERROR(INDEX(研究室[研究室名],L1),"-")</f>
        <v>-</v>
      </c>
      <c r="M2" s="24" t="str">
        <f>IFERROR(INDEX(研究室[研究室名],M1),"-")</f>
        <v>-</v>
      </c>
    </row>
    <row r="3" spans="1:13" ht="19.5" thickTop="1" x14ac:dyDescent="0.4">
      <c r="A3" s="22">
        <v>1</v>
      </c>
      <c r="B3" s="25" t="str">
        <f>_xlfn.IFNA(VLOOKUP(B$2&amp;$A3,回答!$Q$7:$S$256,2+MOD(COLUMN(),2),FALSE),"")</f>
        <v/>
      </c>
      <c r="C3" s="26" t="str">
        <f>_xlfn.IFNA(VLOOKUP(C$2&amp;$A3,回答!$Q$7:$S$256,2+MOD(COLUMN(),2),FALSE),"")</f>
        <v/>
      </c>
      <c r="D3" s="25" t="str">
        <f>_xlfn.IFNA(VLOOKUP(D$2&amp;$A3,回答!$Q$7:$S$256,2+MOD(COLUMN(),2),FALSE),"")</f>
        <v/>
      </c>
      <c r="E3" s="26" t="str">
        <f>_xlfn.IFNA(VLOOKUP(E$2&amp;$A3,回答!$Q$7:$S$256,2+MOD(COLUMN(),2),FALSE),"")</f>
        <v/>
      </c>
      <c r="F3" s="25" t="str">
        <f>_xlfn.IFNA(VLOOKUP(F$2&amp;$A3,回答!$Q$7:$S$256,2+MOD(COLUMN(),2),FALSE),"")</f>
        <v/>
      </c>
      <c r="G3" s="26" t="str">
        <f>_xlfn.IFNA(VLOOKUP(G$2&amp;$A3,回答!$Q$7:$S$256,2+MOD(COLUMN(),2),FALSE),"")</f>
        <v/>
      </c>
      <c r="H3" s="25" t="str">
        <f>_xlfn.IFNA(VLOOKUP(H$2&amp;$A3,回答!$Q$7:$S$256,2+MOD(COLUMN(),2),FALSE),"")</f>
        <v/>
      </c>
      <c r="I3" s="26" t="str">
        <f>_xlfn.IFNA(VLOOKUP(I$2&amp;$A3,回答!$Q$7:$S$256,2+MOD(COLUMN(),2),FALSE),"")</f>
        <v/>
      </c>
      <c r="J3" s="25" t="str">
        <f>_xlfn.IFNA(VLOOKUP(J$2&amp;$A3,回答!$Q$7:$S$256,2+MOD(COLUMN(),2),FALSE),"")</f>
        <v/>
      </c>
      <c r="K3" s="26" t="str">
        <f>_xlfn.IFNA(VLOOKUP(K$2&amp;$A3,回答!$Q$7:$S$256,2+MOD(COLUMN(),2),FALSE),"")</f>
        <v/>
      </c>
      <c r="L3" s="25" t="str">
        <f>_xlfn.IFNA(VLOOKUP(L$2&amp;$A3,回答!$Q$7:$S$256,2+MOD(COLUMN(),2),FALSE),"")</f>
        <v/>
      </c>
      <c r="M3" s="26" t="str">
        <f>_xlfn.IFNA(VLOOKUP(M$2&amp;$A3,回答!$Q$7:$S$256,2+MOD(COLUMN(),2),FALSE),"")</f>
        <v/>
      </c>
    </row>
    <row r="4" spans="1:13" x14ac:dyDescent="0.4">
      <c r="A4" s="22">
        <v>2</v>
      </c>
      <c r="B4" s="25" t="str">
        <f>_xlfn.IFNA(VLOOKUP(B$2&amp;$A4,回答!$Q$7:$S$256,2+MOD(COLUMN(),2),FALSE),"")</f>
        <v/>
      </c>
      <c r="C4" s="26" t="str">
        <f>_xlfn.IFNA(VLOOKUP(C$2&amp;$A4,回答!$Q$7:$S$256,2+MOD(COLUMN(),2),FALSE),"")</f>
        <v/>
      </c>
      <c r="D4" s="25" t="str">
        <f>_xlfn.IFNA(VLOOKUP(D$2&amp;$A4,回答!$Q$7:$S$256,2+MOD(COLUMN(),2),FALSE),"")</f>
        <v/>
      </c>
      <c r="E4" s="26" t="str">
        <f>_xlfn.IFNA(VLOOKUP(E$2&amp;$A4,回答!$Q$7:$S$256,2+MOD(COLUMN(),2),FALSE),"")</f>
        <v/>
      </c>
      <c r="F4" s="25" t="str">
        <f>_xlfn.IFNA(VLOOKUP(F$2&amp;$A4,回答!$Q$7:$S$256,2+MOD(COLUMN(),2),FALSE),"")</f>
        <v/>
      </c>
      <c r="G4" s="26" t="str">
        <f>_xlfn.IFNA(VLOOKUP(G$2&amp;$A4,回答!$Q$7:$S$256,2+MOD(COLUMN(),2),FALSE),"")</f>
        <v/>
      </c>
      <c r="H4" s="25" t="str">
        <f>_xlfn.IFNA(VLOOKUP(H$2&amp;$A4,回答!$Q$7:$S$256,2+MOD(COLUMN(),2),FALSE),"")</f>
        <v/>
      </c>
      <c r="I4" s="26" t="str">
        <f>_xlfn.IFNA(VLOOKUP(I$2&amp;$A4,回答!$Q$7:$S$256,2+MOD(COLUMN(),2),FALSE),"")</f>
        <v/>
      </c>
      <c r="J4" s="25" t="str">
        <f>_xlfn.IFNA(VLOOKUP(J$2&amp;$A4,回答!$Q$7:$S$256,2+MOD(COLUMN(),2),FALSE),"")</f>
        <v/>
      </c>
      <c r="K4" s="26" t="str">
        <f>_xlfn.IFNA(VLOOKUP(K$2&amp;$A4,回答!$Q$7:$S$256,2+MOD(COLUMN(),2),FALSE),"")</f>
        <v/>
      </c>
      <c r="L4" s="25" t="str">
        <f>_xlfn.IFNA(VLOOKUP(L$2&amp;$A4,回答!$Q$7:$S$256,2+MOD(COLUMN(),2),FALSE),"")</f>
        <v/>
      </c>
      <c r="M4" s="26" t="str">
        <f>_xlfn.IFNA(VLOOKUP(M$2&amp;$A4,回答!$Q$7:$S$256,2+MOD(COLUMN(),2),FALSE),"")</f>
        <v/>
      </c>
    </row>
    <row r="5" spans="1:13" x14ac:dyDescent="0.4">
      <c r="A5" s="22">
        <v>3</v>
      </c>
      <c r="B5" s="25" t="str">
        <f>_xlfn.IFNA(VLOOKUP(B$2&amp;$A5,回答!$Q$7:$S$256,2+MOD(COLUMN(),2),FALSE),"")</f>
        <v/>
      </c>
      <c r="C5" s="26" t="str">
        <f>_xlfn.IFNA(VLOOKUP(C$2&amp;$A5,回答!$Q$7:$S$256,2+MOD(COLUMN(),2),FALSE),"")</f>
        <v/>
      </c>
      <c r="D5" s="25" t="str">
        <f>_xlfn.IFNA(VLOOKUP(D$2&amp;$A5,回答!$Q$7:$S$256,2+MOD(COLUMN(),2),FALSE),"")</f>
        <v/>
      </c>
      <c r="E5" s="26" t="str">
        <f>_xlfn.IFNA(VLOOKUP(E$2&amp;$A5,回答!$Q$7:$S$256,2+MOD(COLUMN(),2),FALSE),"")</f>
        <v/>
      </c>
      <c r="F5" s="25" t="str">
        <f>_xlfn.IFNA(VLOOKUP(F$2&amp;$A5,回答!$Q$7:$S$256,2+MOD(COLUMN(),2),FALSE),"")</f>
        <v/>
      </c>
      <c r="G5" s="26" t="str">
        <f>_xlfn.IFNA(VLOOKUP(G$2&amp;$A5,回答!$Q$7:$S$256,2+MOD(COLUMN(),2),FALSE),"")</f>
        <v/>
      </c>
      <c r="H5" s="25" t="str">
        <f>_xlfn.IFNA(VLOOKUP(H$2&amp;$A5,回答!$Q$7:$S$256,2+MOD(COLUMN(),2),FALSE),"")</f>
        <v/>
      </c>
      <c r="I5" s="26" t="str">
        <f>_xlfn.IFNA(VLOOKUP(I$2&amp;$A5,回答!$Q$7:$S$256,2+MOD(COLUMN(),2),FALSE),"")</f>
        <v/>
      </c>
      <c r="J5" s="25" t="str">
        <f>_xlfn.IFNA(VLOOKUP(J$2&amp;$A5,回答!$Q$7:$S$256,2+MOD(COLUMN(),2),FALSE),"")</f>
        <v/>
      </c>
      <c r="K5" s="26" t="str">
        <f>_xlfn.IFNA(VLOOKUP(K$2&amp;$A5,回答!$Q$7:$S$256,2+MOD(COLUMN(),2),FALSE),"")</f>
        <v/>
      </c>
      <c r="L5" s="25" t="str">
        <f>_xlfn.IFNA(VLOOKUP(L$2&amp;$A5,回答!$Q$7:$S$256,2+MOD(COLUMN(),2),FALSE),"")</f>
        <v/>
      </c>
      <c r="M5" s="26" t="str">
        <f>_xlfn.IFNA(VLOOKUP(M$2&amp;$A5,回答!$Q$7:$S$256,2+MOD(COLUMN(),2),FALSE),"")</f>
        <v/>
      </c>
    </row>
    <row r="6" spans="1:13" x14ac:dyDescent="0.4">
      <c r="A6" s="22">
        <v>4</v>
      </c>
      <c r="B6" s="25" t="str">
        <f>_xlfn.IFNA(VLOOKUP(B$2&amp;$A6,回答!$Q$7:$S$256,2+MOD(COLUMN(),2),FALSE),"")</f>
        <v/>
      </c>
      <c r="C6" s="26" t="str">
        <f>_xlfn.IFNA(VLOOKUP(C$2&amp;$A6,回答!$Q$7:$S$256,2+MOD(COLUMN(),2),FALSE),"")</f>
        <v/>
      </c>
      <c r="D6" s="25" t="str">
        <f>_xlfn.IFNA(VLOOKUP(D$2&amp;$A6,回答!$Q$7:$S$256,2+MOD(COLUMN(),2),FALSE),"")</f>
        <v/>
      </c>
      <c r="E6" s="26" t="str">
        <f>_xlfn.IFNA(VLOOKUP(E$2&amp;$A6,回答!$Q$7:$S$256,2+MOD(COLUMN(),2),FALSE),"")</f>
        <v/>
      </c>
      <c r="F6" s="25" t="str">
        <f>_xlfn.IFNA(VLOOKUP(F$2&amp;$A6,回答!$Q$7:$S$256,2+MOD(COLUMN(),2),FALSE),"")</f>
        <v/>
      </c>
      <c r="G6" s="26" t="str">
        <f>_xlfn.IFNA(VLOOKUP(G$2&amp;$A6,回答!$Q$7:$S$256,2+MOD(COLUMN(),2),FALSE),"")</f>
        <v/>
      </c>
      <c r="H6" s="25" t="str">
        <f>_xlfn.IFNA(VLOOKUP(H$2&amp;$A6,回答!$Q$7:$S$256,2+MOD(COLUMN(),2),FALSE),"")</f>
        <v/>
      </c>
      <c r="I6" s="26" t="str">
        <f>_xlfn.IFNA(VLOOKUP(I$2&amp;$A6,回答!$Q$7:$S$256,2+MOD(COLUMN(),2),FALSE),"")</f>
        <v/>
      </c>
      <c r="J6" s="25" t="str">
        <f>_xlfn.IFNA(VLOOKUP(J$2&amp;$A6,回答!$Q$7:$S$256,2+MOD(COLUMN(),2),FALSE),"")</f>
        <v/>
      </c>
      <c r="K6" s="26" t="str">
        <f>_xlfn.IFNA(VLOOKUP(K$2&amp;$A6,回答!$Q$7:$S$256,2+MOD(COLUMN(),2),FALSE),"")</f>
        <v/>
      </c>
      <c r="L6" s="25" t="str">
        <f>_xlfn.IFNA(VLOOKUP(L$2&amp;$A6,回答!$Q$7:$S$256,2+MOD(COLUMN(),2),FALSE),"")</f>
        <v/>
      </c>
      <c r="M6" s="26" t="str">
        <f>_xlfn.IFNA(VLOOKUP(M$2&amp;$A6,回答!$Q$7:$S$256,2+MOD(COLUMN(),2),FALSE),"")</f>
        <v/>
      </c>
    </row>
    <row r="7" spans="1:13" x14ac:dyDescent="0.4">
      <c r="A7" s="22">
        <v>5</v>
      </c>
      <c r="B7" s="25" t="str">
        <f>_xlfn.IFNA(VLOOKUP(B$2&amp;$A7,回答!$Q$7:$S$256,2+MOD(COLUMN(),2),FALSE),"")</f>
        <v/>
      </c>
      <c r="C7" s="26" t="str">
        <f>_xlfn.IFNA(VLOOKUP(C$2&amp;$A7,回答!$Q$7:$S$256,2+MOD(COLUMN(),2),FALSE),"")</f>
        <v/>
      </c>
      <c r="D7" s="25" t="str">
        <f>_xlfn.IFNA(VLOOKUP(D$2&amp;$A7,回答!$Q$7:$S$256,2+MOD(COLUMN(),2),FALSE),"")</f>
        <v/>
      </c>
      <c r="E7" s="26" t="str">
        <f>_xlfn.IFNA(VLOOKUP(E$2&amp;$A7,回答!$Q$7:$S$256,2+MOD(COLUMN(),2),FALSE),"")</f>
        <v/>
      </c>
      <c r="F7" s="25" t="str">
        <f>_xlfn.IFNA(VLOOKUP(F$2&amp;$A7,回答!$Q$7:$S$256,2+MOD(COLUMN(),2),FALSE),"")</f>
        <v/>
      </c>
      <c r="G7" s="26" t="str">
        <f>_xlfn.IFNA(VLOOKUP(G$2&amp;$A7,回答!$Q$7:$S$256,2+MOD(COLUMN(),2),FALSE),"")</f>
        <v/>
      </c>
      <c r="H7" s="25" t="str">
        <f>_xlfn.IFNA(VLOOKUP(H$2&amp;$A7,回答!$Q$7:$S$256,2+MOD(COLUMN(),2),FALSE),"")</f>
        <v/>
      </c>
      <c r="I7" s="26" t="str">
        <f>_xlfn.IFNA(VLOOKUP(I$2&amp;$A7,回答!$Q$7:$S$256,2+MOD(COLUMN(),2),FALSE),"")</f>
        <v/>
      </c>
      <c r="J7" s="25" t="str">
        <f>_xlfn.IFNA(VLOOKUP(J$2&amp;$A7,回答!$Q$7:$S$256,2+MOD(COLUMN(),2),FALSE),"")</f>
        <v/>
      </c>
      <c r="K7" s="26" t="str">
        <f>_xlfn.IFNA(VLOOKUP(K$2&amp;$A7,回答!$Q$7:$S$256,2+MOD(COLUMN(),2),FALSE),"")</f>
        <v/>
      </c>
      <c r="L7" s="25" t="str">
        <f>_xlfn.IFNA(VLOOKUP(L$2&amp;$A7,回答!$Q$7:$S$256,2+MOD(COLUMN(),2),FALSE),"")</f>
        <v/>
      </c>
      <c r="M7" s="26" t="str">
        <f>_xlfn.IFNA(VLOOKUP(M$2&amp;$A7,回答!$Q$7:$S$256,2+MOD(COLUMN(),2),FALSE),"")</f>
        <v/>
      </c>
    </row>
    <row r="8" spans="1:13" x14ac:dyDescent="0.4">
      <c r="A8" s="22">
        <v>6</v>
      </c>
      <c r="B8" s="25" t="str">
        <f>_xlfn.IFNA(VLOOKUP(B$2&amp;$A8,回答!$Q$7:$S$256,2+MOD(COLUMN(),2),FALSE),"")</f>
        <v/>
      </c>
      <c r="C8" s="26" t="str">
        <f>_xlfn.IFNA(VLOOKUP(C$2&amp;$A8,回答!$Q$7:$S$256,2+MOD(COLUMN(),2),FALSE),"")</f>
        <v/>
      </c>
      <c r="D8" s="25" t="str">
        <f>_xlfn.IFNA(VLOOKUP(D$2&amp;$A8,回答!$Q$7:$S$256,2+MOD(COLUMN(),2),FALSE),"")</f>
        <v/>
      </c>
      <c r="E8" s="26" t="str">
        <f>_xlfn.IFNA(VLOOKUP(E$2&amp;$A8,回答!$Q$7:$S$256,2+MOD(COLUMN(),2),FALSE),"")</f>
        <v/>
      </c>
      <c r="F8" s="25" t="str">
        <f>_xlfn.IFNA(VLOOKUP(F$2&amp;$A8,回答!$Q$7:$S$256,2+MOD(COLUMN(),2),FALSE),"")</f>
        <v/>
      </c>
      <c r="G8" s="26" t="str">
        <f>_xlfn.IFNA(VLOOKUP(G$2&amp;$A8,回答!$Q$7:$S$256,2+MOD(COLUMN(),2),FALSE),"")</f>
        <v/>
      </c>
      <c r="H8" s="25" t="str">
        <f>_xlfn.IFNA(VLOOKUP(H$2&amp;$A8,回答!$Q$7:$S$256,2+MOD(COLUMN(),2),FALSE),"")</f>
        <v/>
      </c>
      <c r="I8" s="26" t="str">
        <f>_xlfn.IFNA(VLOOKUP(I$2&amp;$A8,回答!$Q$7:$S$256,2+MOD(COLUMN(),2),FALSE),"")</f>
        <v/>
      </c>
      <c r="J8" s="25" t="str">
        <f>_xlfn.IFNA(VLOOKUP(J$2&amp;$A8,回答!$Q$7:$S$256,2+MOD(COLUMN(),2),FALSE),"")</f>
        <v/>
      </c>
      <c r="K8" s="26" t="str">
        <f>_xlfn.IFNA(VLOOKUP(K$2&amp;$A8,回答!$Q$7:$S$256,2+MOD(COLUMN(),2),FALSE),"")</f>
        <v/>
      </c>
      <c r="L8" s="25" t="str">
        <f>_xlfn.IFNA(VLOOKUP(L$2&amp;$A8,回答!$Q$7:$S$256,2+MOD(COLUMN(),2),FALSE),"")</f>
        <v/>
      </c>
      <c r="M8" s="26" t="str">
        <f>_xlfn.IFNA(VLOOKUP(M$2&amp;$A8,回答!$Q$7:$S$256,2+MOD(COLUMN(),2),FALSE),"")</f>
        <v/>
      </c>
    </row>
    <row r="9" spans="1:13" x14ac:dyDescent="0.4">
      <c r="A9" s="22">
        <v>7</v>
      </c>
      <c r="B9" s="25" t="str">
        <f>_xlfn.IFNA(VLOOKUP(B$2&amp;$A9,回答!$Q$7:$S$256,2+MOD(COLUMN(),2),FALSE),"")</f>
        <v/>
      </c>
      <c r="C9" s="26" t="str">
        <f>_xlfn.IFNA(VLOOKUP(C$2&amp;$A9,回答!$Q$7:$S$256,2+MOD(COLUMN(),2),FALSE),"")</f>
        <v/>
      </c>
      <c r="D9" s="25" t="str">
        <f>_xlfn.IFNA(VLOOKUP(D$2&amp;$A9,回答!$Q$7:$S$256,2+MOD(COLUMN(),2),FALSE),"")</f>
        <v/>
      </c>
      <c r="E9" s="26" t="str">
        <f>_xlfn.IFNA(VLOOKUP(E$2&amp;$A9,回答!$Q$7:$S$256,2+MOD(COLUMN(),2),FALSE),"")</f>
        <v/>
      </c>
      <c r="F9" s="25" t="str">
        <f>_xlfn.IFNA(VLOOKUP(F$2&amp;$A9,回答!$Q$7:$S$256,2+MOD(COLUMN(),2),FALSE),"")</f>
        <v/>
      </c>
      <c r="G9" s="26" t="str">
        <f>_xlfn.IFNA(VLOOKUP(G$2&amp;$A9,回答!$Q$7:$S$256,2+MOD(COLUMN(),2),FALSE),"")</f>
        <v/>
      </c>
      <c r="H9" s="25" t="str">
        <f>_xlfn.IFNA(VLOOKUP(H$2&amp;$A9,回答!$Q$7:$S$256,2+MOD(COLUMN(),2),FALSE),"")</f>
        <v/>
      </c>
      <c r="I9" s="26" t="str">
        <f>_xlfn.IFNA(VLOOKUP(I$2&amp;$A9,回答!$Q$7:$S$256,2+MOD(COLUMN(),2),FALSE),"")</f>
        <v/>
      </c>
      <c r="J9" s="25" t="str">
        <f>_xlfn.IFNA(VLOOKUP(J$2&amp;$A9,回答!$Q$7:$S$256,2+MOD(COLUMN(),2),FALSE),"")</f>
        <v/>
      </c>
      <c r="K9" s="26" t="str">
        <f>_xlfn.IFNA(VLOOKUP(K$2&amp;$A9,回答!$Q$7:$S$256,2+MOD(COLUMN(),2),FALSE),"")</f>
        <v/>
      </c>
      <c r="L9" s="25" t="str">
        <f>_xlfn.IFNA(VLOOKUP(L$2&amp;$A9,回答!$Q$7:$S$256,2+MOD(COLUMN(),2),FALSE),"")</f>
        <v/>
      </c>
      <c r="M9" s="26" t="str">
        <f>_xlfn.IFNA(VLOOKUP(M$2&amp;$A9,回答!$Q$7:$S$256,2+MOD(COLUMN(),2),FALSE),"")</f>
        <v/>
      </c>
    </row>
    <row r="10" spans="1:13" x14ac:dyDescent="0.4">
      <c r="A10" s="22">
        <v>8</v>
      </c>
      <c r="B10" s="25" t="str">
        <f>_xlfn.IFNA(VLOOKUP(B$2&amp;$A10,回答!$Q$7:$S$256,2+MOD(COLUMN(),2),FALSE),"")</f>
        <v/>
      </c>
      <c r="C10" s="26" t="str">
        <f>_xlfn.IFNA(VLOOKUP(C$2&amp;$A10,回答!$Q$7:$S$256,2+MOD(COLUMN(),2),FALSE),"")</f>
        <v/>
      </c>
      <c r="D10" s="25" t="str">
        <f>_xlfn.IFNA(VLOOKUP(D$2&amp;$A10,回答!$Q$7:$S$256,2+MOD(COLUMN(),2),FALSE),"")</f>
        <v/>
      </c>
      <c r="E10" s="26" t="str">
        <f>_xlfn.IFNA(VLOOKUP(E$2&amp;$A10,回答!$Q$7:$S$256,2+MOD(COLUMN(),2),FALSE),"")</f>
        <v/>
      </c>
      <c r="F10" s="25" t="str">
        <f>_xlfn.IFNA(VLOOKUP(F$2&amp;$A10,回答!$Q$7:$S$256,2+MOD(COLUMN(),2),FALSE),"")</f>
        <v/>
      </c>
      <c r="G10" s="26" t="str">
        <f>_xlfn.IFNA(VLOOKUP(G$2&amp;$A10,回答!$Q$7:$S$256,2+MOD(COLUMN(),2),FALSE),"")</f>
        <v/>
      </c>
      <c r="H10" s="25" t="str">
        <f>_xlfn.IFNA(VLOOKUP(H$2&amp;$A10,回答!$Q$7:$S$256,2+MOD(COLUMN(),2),FALSE),"")</f>
        <v/>
      </c>
      <c r="I10" s="26" t="str">
        <f>_xlfn.IFNA(VLOOKUP(I$2&amp;$A10,回答!$Q$7:$S$256,2+MOD(COLUMN(),2),FALSE),"")</f>
        <v/>
      </c>
      <c r="J10" s="25" t="str">
        <f>_xlfn.IFNA(VLOOKUP(J$2&amp;$A10,回答!$Q$7:$S$256,2+MOD(COLUMN(),2),FALSE),"")</f>
        <v/>
      </c>
      <c r="K10" s="26" t="str">
        <f>_xlfn.IFNA(VLOOKUP(K$2&amp;$A10,回答!$Q$7:$S$256,2+MOD(COLUMN(),2),FALSE),"")</f>
        <v/>
      </c>
      <c r="L10" s="25" t="str">
        <f>_xlfn.IFNA(VLOOKUP(L$2&amp;$A10,回答!$Q$7:$S$256,2+MOD(COLUMN(),2),FALSE),"")</f>
        <v/>
      </c>
      <c r="M10" s="26" t="str">
        <f>_xlfn.IFNA(VLOOKUP(M$2&amp;$A10,回答!$Q$7:$S$256,2+MOD(COLUMN(),2),FALSE),"")</f>
        <v/>
      </c>
    </row>
    <row r="11" spans="1:13" x14ac:dyDescent="0.4">
      <c r="A11" s="22">
        <v>9</v>
      </c>
      <c r="B11" s="25" t="str">
        <f>_xlfn.IFNA(VLOOKUP(B$2&amp;$A11,回答!$Q$7:$S$256,2+MOD(COLUMN(),2),FALSE),"")</f>
        <v/>
      </c>
      <c r="C11" s="26" t="str">
        <f>_xlfn.IFNA(VLOOKUP(C$2&amp;$A11,回答!$Q$7:$S$256,2+MOD(COLUMN(),2),FALSE),"")</f>
        <v/>
      </c>
      <c r="D11" s="25" t="str">
        <f>_xlfn.IFNA(VLOOKUP(D$2&amp;$A11,回答!$Q$7:$S$256,2+MOD(COLUMN(),2),FALSE),"")</f>
        <v/>
      </c>
      <c r="E11" s="26" t="str">
        <f>_xlfn.IFNA(VLOOKUP(E$2&amp;$A11,回答!$Q$7:$S$256,2+MOD(COLUMN(),2),FALSE),"")</f>
        <v/>
      </c>
      <c r="F11" s="25" t="str">
        <f>_xlfn.IFNA(VLOOKUP(F$2&amp;$A11,回答!$Q$7:$S$256,2+MOD(COLUMN(),2),FALSE),"")</f>
        <v/>
      </c>
      <c r="G11" s="26" t="str">
        <f>_xlfn.IFNA(VLOOKUP(G$2&amp;$A11,回答!$Q$7:$S$256,2+MOD(COLUMN(),2),FALSE),"")</f>
        <v/>
      </c>
      <c r="H11" s="25" t="str">
        <f>_xlfn.IFNA(VLOOKUP(H$2&amp;$A11,回答!$Q$7:$S$256,2+MOD(COLUMN(),2),FALSE),"")</f>
        <v/>
      </c>
      <c r="I11" s="26" t="str">
        <f>_xlfn.IFNA(VLOOKUP(I$2&amp;$A11,回答!$Q$7:$S$256,2+MOD(COLUMN(),2),FALSE),"")</f>
        <v/>
      </c>
      <c r="J11" s="25" t="str">
        <f>_xlfn.IFNA(VLOOKUP(J$2&amp;$A11,回答!$Q$7:$S$256,2+MOD(COLUMN(),2),FALSE),"")</f>
        <v/>
      </c>
      <c r="K11" s="26" t="str">
        <f>_xlfn.IFNA(VLOOKUP(K$2&amp;$A11,回答!$Q$7:$S$256,2+MOD(COLUMN(),2),FALSE),"")</f>
        <v/>
      </c>
      <c r="L11" s="25" t="str">
        <f>_xlfn.IFNA(VLOOKUP(L$2&amp;$A11,回答!$Q$7:$S$256,2+MOD(COLUMN(),2),FALSE),"")</f>
        <v/>
      </c>
      <c r="M11" s="26" t="str">
        <f>_xlfn.IFNA(VLOOKUP(M$2&amp;$A11,回答!$Q$7:$S$256,2+MOD(COLUMN(),2),FALSE),"")</f>
        <v/>
      </c>
    </row>
    <row r="12" spans="1:13" x14ac:dyDescent="0.4">
      <c r="A12" s="22">
        <v>10</v>
      </c>
      <c r="B12" s="25" t="str">
        <f>_xlfn.IFNA(VLOOKUP(B$2&amp;$A12,回答!$Q$7:$S$256,2+MOD(COLUMN(),2),FALSE),"")</f>
        <v/>
      </c>
      <c r="C12" s="26" t="str">
        <f>_xlfn.IFNA(VLOOKUP(C$2&amp;$A12,回答!$Q$7:$S$256,2+MOD(COLUMN(),2),FALSE),"")</f>
        <v/>
      </c>
      <c r="D12" s="25" t="str">
        <f>_xlfn.IFNA(VLOOKUP(D$2&amp;$A12,回答!$Q$7:$S$256,2+MOD(COLUMN(),2),FALSE),"")</f>
        <v/>
      </c>
      <c r="E12" s="26" t="str">
        <f>_xlfn.IFNA(VLOOKUP(E$2&amp;$A12,回答!$Q$7:$S$256,2+MOD(COLUMN(),2),FALSE),"")</f>
        <v/>
      </c>
      <c r="F12" s="25" t="str">
        <f>_xlfn.IFNA(VLOOKUP(F$2&amp;$A12,回答!$Q$7:$S$256,2+MOD(COLUMN(),2),FALSE),"")</f>
        <v/>
      </c>
      <c r="G12" s="26" t="str">
        <f>_xlfn.IFNA(VLOOKUP(G$2&amp;$A12,回答!$Q$7:$S$256,2+MOD(COLUMN(),2),FALSE),"")</f>
        <v/>
      </c>
      <c r="H12" s="25" t="str">
        <f>_xlfn.IFNA(VLOOKUP(H$2&amp;$A12,回答!$Q$7:$S$256,2+MOD(COLUMN(),2),FALSE),"")</f>
        <v/>
      </c>
      <c r="I12" s="26" t="str">
        <f>_xlfn.IFNA(VLOOKUP(I$2&amp;$A12,回答!$Q$7:$S$256,2+MOD(COLUMN(),2),FALSE),"")</f>
        <v/>
      </c>
      <c r="J12" s="25" t="str">
        <f>_xlfn.IFNA(VLOOKUP(J$2&amp;$A12,回答!$Q$7:$S$256,2+MOD(COLUMN(),2),FALSE),"")</f>
        <v/>
      </c>
      <c r="K12" s="26" t="str">
        <f>_xlfn.IFNA(VLOOKUP(K$2&amp;$A12,回答!$Q$7:$S$256,2+MOD(COLUMN(),2),FALSE),"")</f>
        <v/>
      </c>
      <c r="L12" s="25" t="str">
        <f>_xlfn.IFNA(VLOOKUP(L$2&amp;$A12,回答!$Q$7:$S$256,2+MOD(COLUMN(),2),FALSE),"")</f>
        <v/>
      </c>
      <c r="M12" s="26" t="str">
        <f>_xlfn.IFNA(VLOOKUP(M$2&amp;$A12,回答!$Q$7:$S$256,2+MOD(COLUMN(),2),FALSE),"")</f>
        <v/>
      </c>
    </row>
    <row r="13" spans="1:13" x14ac:dyDescent="0.4">
      <c r="A13" s="22">
        <v>11</v>
      </c>
      <c r="B13" s="25" t="str">
        <f>_xlfn.IFNA(VLOOKUP(B$2&amp;$A13,回答!$Q$7:$S$256,2+MOD(COLUMN(),2),FALSE),"")</f>
        <v/>
      </c>
      <c r="C13" s="26" t="str">
        <f>_xlfn.IFNA(VLOOKUP(C$2&amp;$A13,回答!$Q$7:$S$256,2+MOD(COLUMN(),2),FALSE),"")</f>
        <v/>
      </c>
      <c r="D13" s="25" t="str">
        <f>_xlfn.IFNA(VLOOKUP(D$2&amp;$A13,回答!$Q$7:$S$256,2+MOD(COLUMN(),2),FALSE),"")</f>
        <v/>
      </c>
      <c r="E13" s="26" t="str">
        <f>_xlfn.IFNA(VLOOKUP(E$2&amp;$A13,回答!$Q$7:$S$256,2+MOD(COLUMN(),2),FALSE),"")</f>
        <v/>
      </c>
      <c r="F13" s="25" t="str">
        <f>_xlfn.IFNA(VLOOKUP(F$2&amp;$A13,回答!$Q$7:$S$256,2+MOD(COLUMN(),2),FALSE),"")</f>
        <v/>
      </c>
      <c r="G13" s="26" t="str">
        <f>_xlfn.IFNA(VLOOKUP(G$2&amp;$A13,回答!$Q$7:$S$256,2+MOD(COLUMN(),2),FALSE),"")</f>
        <v/>
      </c>
      <c r="H13" s="25" t="str">
        <f>_xlfn.IFNA(VLOOKUP(H$2&amp;$A13,回答!$Q$7:$S$256,2+MOD(COLUMN(),2),FALSE),"")</f>
        <v/>
      </c>
      <c r="I13" s="26" t="str">
        <f>_xlfn.IFNA(VLOOKUP(I$2&amp;$A13,回答!$Q$7:$S$256,2+MOD(COLUMN(),2),FALSE),"")</f>
        <v/>
      </c>
      <c r="J13" s="25" t="str">
        <f>_xlfn.IFNA(VLOOKUP(J$2&amp;$A13,回答!$Q$7:$S$256,2+MOD(COLUMN(),2),FALSE),"")</f>
        <v/>
      </c>
      <c r="K13" s="26" t="str">
        <f>_xlfn.IFNA(VLOOKUP(K$2&amp;$A13,回答!$Q$7:$S$256,2+MOD(COLUMN(),2),FALSE),"")</f>
        <v/>
      </c>
      <c r="L13" s="25" t="str">
        <f>_xlfn.IFNA(VLOOKUP(L$2&amp;$A13,回答!$Q$7:$S$256,2+MOD(COLUMN(),2),FALSE),"")</f>
        <v/>
      </c>
      <c r="M13" s="26" t="str">
        <f>_xlfn.IFNA(VLOOKUP(M$2&amp;$A13,回答!$Q$7:$S$256,2+MOD(COLUMN(),2),FALSE),"")</f>
        <v/>
      </c>
    </row>
    <row r="14" spans="1:13" x14ac:dyDescent="0.4">
      <c r="A14" s="22">
        <v>12</v>
      </c>
      <c r="B14" s="25" t="str">
        <f>_xlfn.IFNA(VLOOKUP(B$2&amp;$A14,回答!$Q$7:$S$256,2+MOD(COLUMN(),2),FALSE),"")</f>
        <v/>
      </c>
      <c r="C14" s="26" t="str">
        <f>_xlfn.IFNA(VLOOKUP(C$2&amp;$A14,回答!$Q$7:$S$256,2+MOD(COLUMN(),2),FALSE),"")</f>
        <v/>
      </c>
      <c r="D14" s="25" t="str">
        <f>_xlfn.IFNA(VLOOKUP(D$2&amp;$A14,回答!$Q$7:$S$256,2+MOD(COLUMN(),2),FALSE),"")</f>
        <v/>
      </c>
      <c r="E14" s="26" t="str">
        <f>_xlfn.IFNA(VLOOKUP(E$2&amp;$A14,回答!$Q$7:$S$256,2+MOD(COLUMN(),2),FALSE),"")</f>
        <v/>
      </c>
      <c r="F14" s="25" t="str">
        <f>_xlfn.IFNA(VLOOKUP(F$2&amp;$A14,回答!$Q$7:$S$256,2+MOD(COLUMN(),2),FALSE),"")</f>
        <v/>
      </c>
      <c r="G14" s="26" t="str">
        <f>_xlfn.IFNA(VLOOKUP(G$2&amp;$A14,回答!$Q$7:$S$256,2+MOD(COLUMN(),2),FALSE),"")</f>
        <v/>
      </c>
      <c r="H14" s="25" t="str">
        <f>_xlfn.IFNA(VLOOKUP(H$2&amp;$A14,回答!$Q$7:$S$256,2+MOD(COLUMN(),2),FALSE),"")</f>
        <v/>
      </c>
      <c r="I14" s="26" t="str">
        <f>_xlfn.IFNA(VLOOKUP(I$2&amp;$A14,回答!$Q$7:$S$256,2+MOD(COLUMN(),2),FALSE),"")</f>
        <v/>
      </c>
      <c r="J14" s="25" t="str">
        <f>_xlfn.IFNA(VLOOKUP(J$2&amp;$A14,回答!$Q$7:$S$256,2+MOD(COLUMN(),2),FALSE),"")</f>
        <v/>
      </c>
      <c r="K14" s="26" t="str">
        <f>_xlfn.IFNA(VLOOKUP(K$2&amp;$A14,回答!$Q$7:$S$256,2+MOD(COLUMN(),2),FALSE),"")</f>
        <v/>
      </c>
      <c r="L14" s="25" t="str">
        <f>_xlfn.IFNA(VLOOKUP(L$2&amp;$A14,回答!$Q$7:$S$256,2+MOD(COLUMN(),2),FALSE),"")</f>
        <v/>
      </c>
      <c r="M14" s="26" t="str">
        <f>_xlfn.IFNA(VLOOKUP(M$2&amp;$A14,回答!$Q$7:$S$256,2+MOD(COLUMN(),2),FALSE),"")</f>
        <v/>
      </c>
    </row>
    <row r="15" spans="1:13" x14ac:dyDescent="0.4">
      <c r="A15" s="22">
        <v>13</v>
      </c>
      <c r="B15" s="25" t="str">
        <f>_xlfn.IFNA(VLOOKUP(B$2&amp;$A15,回答!$Q$7:$S$256,2+MOD(COLUMN(),2),FALSE),"")</f>
        <v/>
      </c>
      <c r="C15" s="26" t="str">
        <f>_xlfn.IFNA(VLOOKUP(C$2&amp;$A15,回答!$Q$7:$S$256,2+MOD(COLUMN(),2),FALSE),"")</f>
        <v/>
      </c>
      <c r="D15" s="25" t="str">
        <f>_xlfn.IFNA(VLOOKUP(D$2&amp;$A15,回答!$Q$7:$S$256,2+MOD(COLUMN(),2),FALSE),"")</f>
        <v/>
      </c>
      <c r="E15" s="26" t="str">
        <f>_xlfn.IFNA(VLOOKUP(E$2&amp;$A15,回答!$Q$7:$S$256,2+MOD(COLUMN(),2),FALSE),"")</f>
        <v/>
      </c>
      <c r="F15" s="25" t="str">
        <f>_xlfn.IFNA(VLOOKUP(F$2&amp;$A15,回答!$Q$7:$S$256,2+MOD(COLUMN(),2),FALSE),"")</f>
        <v/>
      </c>
      <c r="G15" s="26" t="str">
        <f>_xlfn.IFNA(VLOOKUP(G$2&amp;$A15,回答!$Q$7:$S$256,2+MOD(COLUMN(),2),FALSE),"")</f>
        <v/>
      </c>
      <c r="H15" s="25" t="str">
        <f>_xlfn.IFNA(VLOOKUP(H$2&amp;$A15,回答!$Q$7:$S$256,2+MOD(COLUMN(),2),FALSE),"")</f>
        <v/>
      </c>
      <c r="I15" s="26" t="str">
        <f>_xlfn.IFNA(VLOOKUP(I$2&amp;$A15,回答!$Q$7:$S$256,2+MOD(COLUMN(),2),FALSE),"")</f>
        <v/>
      </c>
      <c r="J15" s="25" t="str">
        <f>_xlfn.IFNA(VLOOKUP(J$2&amp;$A15,回答!$Q$7:$S$256,2+MOD(COLUMN(),2),FALSE),"")</f>
        <v/>
      </c>
      <c r="K15" s="26" t="str">
        <f>_xlfn.IFNA(VLOOKUP(K$2&amp;$A15,回答!$Q$7:$S$256,2+MOD(COLUMN(),2),FALSE),"")</f>
        <v/>
      </c>
      <c r="L15" s="25" t="str">
        <f>_xlfn.IFNA(VLOOKUP(L$2&amp;$A15,回答!$Q$7:$S$256,2+MOD(COLUMN(),2),FALSE),"")</f>
        <v/>
      </c>
      <c r="M15" s="26" t="str">
        <f>_xlfn.IFNA(VLOOKUP(M$2&amp;$A15,回答!$Q$7:$S$256,2+MOD(COLUMN(),2),FALSE),"")</f>
        <v/>
      </c>
    </row>
    <row r="16" spans="1:13" hidden="1" x14ac:dyDescent="0.4">
      <c r="A16" s="22">
        <v>14</v>
      </c>
      <c r="B16" s="25" t="str">
        <f>_xlfn.IFNA(VLOOKUP(B$2&amp;$A16,回答!$Q$7:$S$256,2+MOD(COLUMN(),2),FALSE),"")</f>
        <v/>
      </c>
      <c r="C16" s="26" t="str">
        <f>_xlfn.IFNA(VLOOKUP(C$2&amp;$A16,回答!$Q$7:$S$256,2+MOD(COLUMN(),2),FALSE),"")</f>
        <v/>
      </c>
      <c r="D16" s="25" t="str">
        <f>_xlfn.IFNA(VLOOKUP(D$2&amp;$A16,回答!$Q$7:$S$256,2+MOD(COLUMN(),2),FALSE),"")</f>
        <v/>
      </c>
      <c r="E16" s="26" t="str">
        <f>_xlfn.IFNA(VLOOKUP(E$2&amp;$A16,回答!$Q$7:$S$256,2+MOD(COLUMN(),2),FALSE),"")</f>
        <v/>
      </c>
      <c r="F16" s="25" t="str">
        <f>_xlfn.IFNA(VLOOKUP(F$2&amp;$A16,回答!$Q$7:$S$256,2+MOD(COLUMN(),2),FALSE),"")</f>
        <v/>
      </c>
      <c r="G16" s="26" t="str">
        <f>_xlfn.IFNA(VLOOKUP(G$2&amp;$A16,回答!$Q$7:$S$256,2+MOD(COLUMN(),2),FALSE),"")</f>
        <v/>
      </c>
      <c r="H16" s="25" t="str">
        <f>_xlfn.IFNA(VLOOKUP(H$2&amp;$A16,回答!$Q$7:$S$256,2+MOD(COLUMN(),2),FALSE),"")</f>
        <v/>
      </c>
      <c r="I16" s="26" t="str">
        <f>_xlfn.IFNA(VLOOKUP(I$2&amp;$A16,回答!$Q$7:$S$256,2+MOD(COLUMN(),2),FALSE),"")</f>
        <v/>
      </c>
      <c r="J16" s="25" t="str">
        <f>_xlfn.IFNA(VLOOKUP(J$2&amp;$A16,回答!$Q$7:$S$256,2+MOD(COLUMN(),2),FALSE),"")</f>
        <v/>
      </c>
      <c r="K16" s="26" t="str">
        <f>_xlfn.IFNA(VLOOKUP(K$2&amp;$A16,回答!$Q$7:$S$256,2+MOD(COLUMN(),2),FALSE),"")</f>
        <v/>
      </c>
      <c r="L16" s="25" t="str">
        <f>_xlfn.IFNA(VLOOKUP(L$2&amp;$A16,回答!$Q$7:$S$256,2+MOD(COLUMN(),2),FALSE),"")</f>
        <v/>
      </c>
      <c r="M16" s="26" t="str">
        <f>_xlfn.IFNA(VLOOKUP(M$2&amp;$A16,回答!$Q$7:$S$256,2+MOD(COLUMN(),2),FALSE),"")</f>
        <v/>
      </c>
    </row>
    <row r="17" spans="1:13" hidden="1" x14ac:dyDescent="0.4">
      <c r="A17" s="22">
        <v>15</v>
      </c>
      <c r="B17" s="25" t="str">
        <f>_xlfn.IFNA(VLOOKUP(B$2&amp;$A17,回答!$Q$7:$S$256,2+MOD(COLUMN(),2),FALSE),"")</f>
        <v/>
      </c>
      <c r="C17" s="26" t="str">
        <f>_xlfn.IFNA(VLOOKUP(C$2&amp;$A17,回答!$Q$7:$S$256,2+MOD(COLUMN(),2),FALSE),"")</f>
        <v/>
      </c>
      <c r="D17" s="25" t="str">
        <f>_xlfn.IFNA(VLOOKUP(D$2&amp;$A17,回答!$Q$7:$S$256,2+MOD(COLUMN(),2),FALSE),"")</f>
        <v/>
      </c>
      <c r="E17" s="26" t="str">
        <f>_xlfn.IFNA(VLOOKUP(E$2&amp;$A17,回答!$Q$7:$S$256,2+MOD(COLUMN(),2),FALSE),"")</f>
        <v/>
      </c>
      <c r="F17" s="25" t="str">
        <f>_xlfn.IFNA(VLOOKUP(F$2&amp;$A17,回答!$Q$7:$S$256,2+MOD(COLUMN(),2),FALSE),"")</f>
        <v/>
      </c>
      <c r="G17" s="26" t="str">
        <f>_xlfn.IFNA(VLOOKUP(G$2&amp;$A17,回答!$Q$7:$S$256,2+MOD(COLUMN(),2),FALSE),"")</f>
        <v/>
      </c>
      <c r="H17" s="25" t="str">
        <f>_xlfn.IFNA(VLOOKUP(H$2&amp;$A17,回答!$Q$7:$S$256,2+MOD(COLUMN(),2),FALSE),"")</f>
        <v/>
      </c>
      <c r="I17" s="26" t="str">
        <f>_xlfn.IFNA(VLOOKUP(I$2&amp;$A17,回答!$Q$7:$S$256,2+MOD(COLUMN(),2),FALSE),"")</f>
        <v/>
      </c>
      <c r="J17" s="25" t="str">
        <f>_xlfn.IFNA(VLOOKUP(J$2&amp;$A17,回答!$Q$7:$S$256,2+MOD(COLUMN(),2),FALSE),"")</f>
        <v/>
      </c>
      <c r="K17" s="26" t="str">
        <f>_xlfn.IFNA(VLOOKUP(K$2&amp;$A17,回答!$Q$7:$S$256,2+MOD(COLUMN(),2),FALSE),"")</f>
        <v/>
      </c>
      <c r="L17" s="25" t="str">
        <f>_xlfn.IFNA(VLOOKUP(L$2&amp;$A17,回答!$Q$7:$S$256,2+MOD(COLUMN(),2),FALSE),"")</f>
        <v/>
      </c>
      <c r="M17" s="26" t="str">
        <f>_xlfn.IFNA(VLOOKUP(M$2&amp;$A17,回答!$Q$7:$S$256,2+MOD(COLUMN(),2),FALSE),"")</f>
        <v/>
      </c>
    </row>
    <row r="18" spans="1:13" hidden="1" x14ac:dyDescent="0.4">
      <c r="A18" s="22">
        <v>16</v>
      </c>
      <c r="B18" s="25" t="str">
        <f>_xlfn.IFNA(VLOOKUP(B$2&amp;$A18,回答!$Q$7:$S$256,2+MOD(COLUMN(),2),FALSE),"")</f>
        <v/>
      </c>
      <c r="C18" s="26" t="str">
        <f>_xlfn.IFNA(VLOOKUP(C$2&amp;$A18,回答!$Q$7:$S$256,2+MOD(COLUMN(),2),FALSE),"")</f>
        <v/>
      </c>
      <c r="D18" s="25" t="str">
        <f>_xlfn.IFNA(VLOOKUP(D$2&amp;$A18,回答!$Q$7:$S$256,2+MOD(COLUMN(),2),FALSE),"")</f>
        <v/>
      </c>
      <c r="E18" s="26" t="str">
        <f>_xlfn.IFNA(VLOOKUP(E$2&amp;$A18,回答!$Q$7:$S$256,2+MOD(COLUMN(),2),FALSE),"")</f>
        <v/>
      </c>
      <c r="F18" s="25" t="str">
        <f>_xlfn.IFNA(VLOOKUP(F$2&amp;$A18,回答!$Q$7:$S$256,2+MOD(COLUMN(),2),FALSE),"")</f>
        <v/>
      </c>
      <c r="G18" s="26" t="str">
        <f>_xlfn.IFNA(VLOOKUP(G$2&amp;$A18,回答!$Q$7:$S$256,2+MOD(COLUMN(),2),FALSE),"")</f>
        <v/>
      </c>
      <c r="H18" s="25" t="str">
        <f>_xlfn.IFNA(VLOOKUP(H$2&amp;$A18,回答!$Q$7:$S$256,2+MOD(COLUMN(),2),FALSE),"")</f>
        <v/>
      </c>
      <c r="I18" s="26" t="str">
        <f>_xlfn.IFNA(VLOOKUP(I$2&amp;$A18,回答!$Q$7:$S$256,2+MOD(COLUMN(),2),FALSE),"")</f>
        <v/>
      </c>
      <c r="J18" s="25" t="str">
        <f>_xlfn.IFNA(VLOOKUP(J$2&amp;$A18,回答!$Q$7:$S$256,2+MOD(COLUMN(),2),FALSE),"")</f>
        <v/>
      </c>
      <c r="K18" s="26" t="str">
        <f>_xlfn.IFNA(VLOOKUP(K$2&amp;$A18,回答!$Q$7:$S$256,2+MOD(COLUMN(),2),FALSE),"")</f>
        <v/>
      </c>
      <c r="L18" s="25" t="str">
        <f>_xlfn.IFNA(VLOOKUP(L$2&amp;$A18,回答!$Q$7:$S$256,2+MOD(COLUMN(),2),FALSE),"")</f>
        <v/>
      </c>
      <c r="M18" s="26" t="str">
        <f>_xlfn.IFNA(VLOOKUP(M$2&amp;$A18,回答!$Q$7:$S$256,2+MOD(COLUMN(),2),FALSE),"")</f>
        <v/>
      </c>
    </row>
    <row r="19" spans="1:13" hidden="1" x14ac:dyDescent="0.4">
      <c r="A19" s="22">
        <v>17</v>
      </c>
      <c r="B19" s="25" t="str">
        <f>_xlfn.IFNA(VLOOKUP(B$2&amp;$A19,回答!$Q$7:$S$256,2+MOD(COLUMN(),2),FALSE),"")</f>
        <v/>
      </c>
      <c r="C19" s="26" t="str">
        <f>_xlfn.IFNA(VLOOKUP(C$2&amp;$A19,回答!$Q$7:$S$256,2+MOD(COLUMN(),2),FALSE),"")</f>
        <v/>
      </c>
      <c r="D19" s="25" t="str">
        <f>_xlfn.IFNA(VLOOKUP(D$2&amp;$A19,回答!$Q$7:$S$256,2+MOD(COLUMN(),2),FALSE),"")</f>
        <v/>
      </c>
      <c r="E19" s="26" t="str">
        <f>_xlfn.IFNA(VLOOKUP(E$2&amp;$A19,回答!$Q$7:$S$256,2+MOD(COLUMN(),2),FALSE),"")</f>
        <v/>
      </c>
      <c r="F19" s="25" t="str">
        <f>_xlfn.IFNA(VLOOKUP(F$2&amp;$A19,回答!$Q$7:$S$256,2+MOD(COLUMN(),2),FALSE),"")</f>
        <v/>
      </c>
      <c r="G19" s="26" t="str">
        <f>_xlfn.IFNA(VLOOKUP(G$2&amp;$A19,回答!$Q$7:$S$256,2+MOD(COLUMN(),2),FALSE),"")</f>
        <v/>
      </c>
      <c r="H19" s="25" t="str">
        <f>_xlfn.IFNA(VLOOKUP(H$2&amp;$A19,回答!$Q$7:$S$256,2+MOD(COLUMN(),2),FALSE),"")</f>
        <v/>
      </c>
      <c r="I19" s="26" t="str">
        <f>_xlfn.IFNA(VLOOKUP(I$2&amp;$A19,回答!$Q$7:$S$256,2+MOD(COLUMN(),2),FALSE),"")</f>
        <v/>
      </c>
      <c r="J19" s="25" t="str">
        <f>_xlfn.IFNA(VLOOKUP(J$2&amp;$A19,回答!$Q$7:$S$256,2+MOD(COLUMN(),2),FALSE),"")</f>
        <v/>
      </c>
      <c r="K19" s="26" t="str">
        <f>_xlfn.IFNA(VLOOKUP(K$2&amp;$A19,回答!$Q$7:$S$256,2+MOD(COLUMN(),2),FALSE),"")</f>
        <v/>
      </c>
      <c r="L19" s="25" t="str">
        <f>_xlfn.IFNA(VLOOKUP(L$2&amp;$A19,回答!$Q$7:$S$256,2+MOD(COLUMN(),2),FALSE),"")</f>
        <v/>
      </c>
      <c r="M19" s="26" t="str">
        <f>_xlfn.IFNA(VLOOKUP(M$2&amp;$A19,回答!$Q$7:$S$256,2+MOD(COLUMN(),2),FALSE),"")</f>
        <v/>
      </c>
    </row>
    <row r="20" spans="1:13" hidden="1" x14ac:dyDescent="0.4">
      <c r="A20" s="22">
        <v>18</v>
      </c>
      <c r="B20" s="25" t="str">
        <f>_xlfn.IFNA(VLOOKUP(B$2&amp;$A20,回答!$Q$7:$S$256,2+MOD(COLUMN(),2),FALSE),"")</f>
        <v/>
      </c>
      <c r="C20" s="26" t="str">
        <f>_xlfn.IFNA(VLOOKUP(C$2&amp;$A20,回答!$Q$7:$S$256,2+MOD(COLUMN(),2),FALSE),"")</f>
        <v/>
      </c>
      <c r="D20" s="25" t="str">
        <f>_xlfn.IFNA(VLOOKUP(D$2&amp;$A20,回答!$Q$7:$S$256,2+MOD(COLUMN(),2),FALSE),"")</f>
        <v/>
      </c>
      <c r="E20" s="26" t="str">
        <f>_xlfn.IFNA(VLOOKUP(E$2&amp;$A20,回答!$Q$7:$S$256,2+MOD(COLUMN(),2),FALSE),"")</f>
        <v/>
      </c>
      <c r="F20" s="25" t="str">
        <f>_xlfn.IFNA(VLOOKUP(F$2&amp;$A20,回答!$Q$7:$S$256,2+MOD(COLUMN(),2),FALSE),"")</f>
        <v/>
      </c>
      <c r="G20" s="26" t="str">
        <f>_xlfn.IFNA(VLOOKUP(G$2&amp;$A20,回答!$Q$7:$S$256,2+MOD(COLUMN(),2),FALSE),"")</f>
        <v/>
      </c>
      <c r="H20" s="25" t="str">
        <f>_xlfn.IFNA(VLOOKUP(H$2&amp;$A20,回答!$Q$7:$S$256,2+MOD(COLUMN(),2),FALSE),"")</f>
        <v/>
      </c>
      <c r="I20" s="26" t="str">
        <f>_xlfn.IFNA(VLOOKUP(I$2&amp;$A20,回答!$Q$7:$S$256,2+MOD(COLUMN(),2),FALSE),"")</f>
        <v/>
      </c>
      <c r="J20" s="25" t="str">
        <f>_xlfn.IFNA(VLOOKUP(J$2&amp;$A20,回答!$Q$7:$S$256,2+MOD(COLUMN(),2),FALSE),"")</f>
        <v/>
      </c>
      <c r="K20" s="26" t="str">
        <f>_xlfn.IFNA(VLOOKUP(K$2&amp;$A20,回答!$Q$7:$S$256,2+MOD(COLUMN(),2),FALSE),"")</f>
        <v/>
      </c>
      <c r="L20" s="25" t="str">
        <f>_xlfn.IFNA(VLOOKUP(L$2&amp;$A20,回答!$Q$7:$S$256,2+MOD(COLUMN(),2),FALSE),"")</f>
        <v/>
      </c>
      <c r="M20" s="26" t="str">
        <f>_xlfn.IFNA(VLOOKUP(M$2&amp;$A20,回答!$Q$7:$S$256,2+MOD(COLUMN(),2),FALSE),"")</f>
        <v/>
      </c>
    </row>
    <row r="21" spans="1:13" hidden="1" x14ac:dyDescent="0.4">
      <c r="A21" s="22">
        <v>19</v>
      </c>
      <c r="B21" s="25" t="str">
        <f>_xlfn.IFNA(VLOOKUP(B$2&amp;$A21,回答!$Q$7:$S$256,2+MOD(COLUMN(),2),FALSE),"")</f>
        <v/>
      </c>
      <c r="C21" s="26" t="str">
        <f>_xlfn.IFNA(VLOOKUP(C$2&amp;$A21,回答!$Q$7:$S$256,2+MOD(COLUMN(),2),FALSE),"")</f>
        <v/>
      </c>
      <c r="D21" s="25" t="str">
        <f>_xlfn.IFNA(VLOOKUP(D$2&amp;$A21,回答!$Q$7:$S$256,2+MOD(COLUMN(),2),FALSE),"")</f>
        <v/>
      </c>
      <c r="E21" s="26" t="str">
        <f>_xlfn.IFNA(VLOOKUP(E$2&amp;$A21,回答!$Q$7:$S$256,2+MOD(COLUMN(),2),FALSE),"")</f>
        <v/>
      </c>
      <c r="F21" s="25" t="str">
        <f>_xlfn.IFNA(VLOOKUP(F$2&amp;$A21,回答!$Q$7:$S$256,2+MOD(COLUMN(),2),FALSE),"")</f>
        <v/>
      </c>
      <c r="G21" s="26" t="str">
        <f>_xlfn.IFNA(VLOOKUP(G$2&amp;$A21,回答!$Q$7:$S$256,2+MOD(COLUMN(),2),FALSE),"")</f>
        <v/>
      </c>
      <c r="H21" s="25" t="str">
        <f>_xlfn.IFNA(VLOOKUP(H$2&amp;$A21,回答!$Q$7:$S$256,2+MOD(COLUMN(),2),FALSE),"")</f>
        <v/>
      </c>
      <c r="I21" s="26" t="str">
        <f>_xlfn.IFNA(VLOOKUP(I$2&amp;$A21,回答!$Q$7:$S$256,2+MOD(COLUMN(),2),FALSE),"")</f>
        <v/>
      </c>
      <c r="J21" s="25" t="str">
        <f>_xlfn.IFNA(VLOOKUP(J$2&amp;$A21,回答!$Q$7:$S$256,2+MOD(COLUMN(),2),FALSE),"")</f>
        <v/>
      </c>
      <c r="K21" s="26" t="str">
        <f>_xlfn.IFNA(VLOOKUP(K$2&amp;$A21,回答!$Q$7:$S$256,2+MOD(COLUMN(),2),FALSE),"")</f>
        <v/>
      </c>
      <c r="L21" s="25" t="str">
        <f>_xlfn.IFNA(VLOOKUP(L$2&amp;$A21,回答!$Q$7:$S$256,2+MOD(COLUMN(),2),FALSE),"")</f>
        <v/>
      </c>
      <c r="M21" s="26" t="str">
        <f>_xlfn.IFNA(VLOOKUP(M$2&amp;$A21,回答!$Q$7:$S$256,2+MOD(COLUMN(),2),FALSE),"")</f>
        <v/>
      </c>
    </row>
    <row r="22" spans="1:13" hidden="1" x14ac:dyDescent="0.4">
      <c r="A22" s="22">
        <v>20</v>
      </c>
      <c r="B22" s="25" t="str">
        <f>_xlfn.IFNA(VLOOKUP(B$2&amp;$A22,回答!$Q$7:$S$256,2+MOD(COLUMN(),2),FALSE),"")</f>
        <v/>
      </c>
      <c r="C22" s="26" t="str">
        <f>_xlfn.IFNA(VLOOKUP(C$2&amp;$A22,回答!$Q$7:$S$256,2+MOD(COLUMN(),2),FALSE),"")</f>
        <v/>
      </c>
      <c r="D22" s="25" t="str">
        <f>_xlfn.IFNA(VLOOKUP(D$2&amp;$A22,回答!$Q$7:$S$256,2+MOD(COLUMN(),2),FALSE),"")</f>
        <v/>
      </c>
      <c r="E22" s="26" t="str">
        <f>_xlfn.IFNA(VLOOKUP(E$2&amp;$A22,回答!$Q$7:$S$256,2+MOD(COLUMN(),2),FALSE),"")</f>
        <v/>
      </c>
      <c r="F22" s="25" t="str">
        <f>_xlfn.IFNA(VLOOKUP(F$2&amp;$A22,回答!$Q$7:$S$256,2+MOD(COLUMN(),2),FALSE),"")</f>
        <v/>
      </c>
      <c r="G22" s="26" t="str">
        <f>_xlfn.IFNA(VLOOKUP(G$2&amp;$A22,回答!$Q$7:$S$256,2+MOD(COLUMN(),2),FALSE),"")</f>
        <v/>
      </c>
      <c r="H22" s="25" t="str">
        <f>_xlfn.IFNA(VLOOKUP(H$2&amp;$A22,回答!$Q$7:$S$256,2+MOD(COLUMN(),2),FALSE),"")</f>
        <v/>
      </c>
      <c r="I22" s="26" t="str">
        <f>_xlfn.IFNA(VLOOKUP(I$2&amp;$A22,回答!$Q$7:$S$256,2+MOD(COLUMN(),2),FALSE),"")</f>
        <v/>
      </c>
      <c r="J22" s="25" t="str">
        <f>_xlfn.IFNA(VLOOKUP(J$2&amp;$A22,回答!$Q$7:$S$256,2+MOD(COLUMN(),2),FALSE),"")</f>
        <v/>
      </c>
      <c r="K22" s="26" t="str">
        <f>_xlfn.IFNA(VLOOKUP(K$2&amp;$A22,回答!$Q$7:$S$256,2+MOD(COLUMN(),2),FALSE),"")</f>
        <v/>
      </c>
      <c r="L22" s="25" t="str">
        <f>_xlfn.IFNA(VLOOKUP(L$2&amp;$A22,回答!$Q$7:$S$256,2+MOD(COLUMN(),2),FALSE),"")</f>
        <v/>
      </c>
      <c r="M22" s="26" t="str">
        <f>_xlfn.IFNA(VLOOKUP(M$2&amp;$A22,回答!$Q$7:$S$256,2+MOD(COLUMN(),2),FALSE),"")</f>
        <v/>
      </c>
    </row>
    <row r="24" spans="1:13" x14ac:dyDescent="0.4">
      <c r="A24" s="22"/>
      <c r="B24">
        <v>7</v>
      </c>
      <c r="C24" s="23">
        <f>B24</f>
        <v>7</v>
      </c>
      <c r="D24">
        <v>8</v>
      </c>
      <c r="E24" s="23">
        <f>D24</f>
        <v>8</v>
      </c>
      <c r="F24">
        <v>9</v>
      </c>
      <c r="G24" s="23">
        <f>F24</f>
        <v>9</v>
      </c>
      <c r="H24">
        <v>10</v>
      </c>
      <c r="I24" s="23">
        <f>H24</f>
        <v>10</v>
      </c>
      <c r="J24">
        <v>11</v>
      </c>
      <c r="K24" s="23">
        <f>J24</f>
        <v>11</v>
      </c>
      <c r="L24">
        <v>12</v>
      </c>
      <c r="M24" s="23">
        <f>L24</f>
        <v>12</v>
      </c>
    </row>
    <row r="25" spans="1:13" ht="19.5" thickBot="1" x14ac:dyDescent="0.45">
      <c r="A25" s="21" t="s">
        <v>0</v>
      </c>
      <c r="B25" s="14" t="str">
        <f>IFERROR(INDEX(研究室[研究室名],B24),"-")</f>
        <v>-</v>
      </c>
      <c r="C25" s="24" t="str">
        <f>IFERROR(INDEX(研究室[研究室名],C24),"-")</f>
        <v>-</v>
      </c>
      <c r="D25" s="14" t="str">
        <f>IFERROR(INDEX(研究室[研究室名],D24),"-")</f>
        <v>-</v>
      </c>
      <c r="E25" s="24" t="str">
        <f>IFERROR(INDEX(研究室[研究室名],E24),"-")</f>
        <v>-</v>
      </c>
      <c r="F25" s="14" t="str">
        <f>IFERROR(INDEX(研究室[研究室名],F24),"-")</f>
        <v>-</v>
      </c>
      <c r="G25" s="24" t="str">
        <f>IFERROR(INDEX(研究室[研究室名],G24),"-")</f>
        <v>-</v>
      </c>
      <c r="H25" s="14" t="str">
        <f>IFERROR(INDEX(研究室[研究室名],H24),"-")</f>
        <v>-</v>
      </c>
      <c r="I25" s="24" t="str">
        <f>IFERROR(INDEX(研究室[研究室名],I24),"-")</f>
        <v>-</v>
      </c>
      <c r="J25" s="14" t="str">
        <f>IFERROR(INDEX(研究室[研究室名],J24),"-")</f>
        <v>-</v>
      </c>
      <c r="K25" s="24" t="str">
        <f>IFERROR(INDEX(研究室[研究室名],K24),"-")</f>
        <v>-</v>
      </c>
      <c r="L25" s="14" t="str">
        <f>IFERROR(INDEX(研究室[研究室名],L24),"-")</f>
        <v>-</v>
      </c>
      <c r="M25" s="24" t="str">
        <f>IFERROR(INDEX(研究室[研究室名],M24),"-")</f>
        <v>-</v>
      </c>
    </row>
    <row r="26" spans="1:13" ht="19.5" thickTop="1" x14ac:dyDescent="0.4">
      <c r="A26" s="22">
        <v>1</v>
      </c>
      <c r="B26" s="25" t="str">
        <f>_xlfn.IFNA(VLOOKUP(B$25&amp;$A26,回答!$Q$7:$S$256,2+MOD(COLUMN(),2),FALSE),"")</f>
        <v/>
      </c>
      <c r="C26" s="26" t="str">
        <f>_xlfn.IFNA(VLOOKUP(C$25&amp;$A26,回答!$Q$7:$S$256,2+MOD(COLUMN(),2),FALSE),"")</f>
        <v/>
      </c>
      <c r="D26" s="25" t="str">
        <f>_xlfn.IFNA(VLOOKUP(D$25&amp;$A26,回答!$Q$7:$S$256,2+MOD(COLUMN(),2),FALSE),"")</f>
        <v/>
      </c>
      <c r="E26" s="26" t="str">
        <f>_xlfn.IFNA(VLOOKUP(E$25&amp;$A26,回答!$Q$7:$S$256,2+MOD(COLUMN(),2),FALSE),"")</f>
        <v/>
      </c>
      <c r="F26" s="25" t="str">
        <f>_xlfn.IFNA(VLOOKUP(F$25&amp;$A26,回答!$Q$7:$S$256,2+MOD(COLUMN(),2),FALSE),"")</f>
        <v/>
      </c>
      <c r="G26" s="26" t="str">
        <f>_xlfn.IFNA(VLOOKUP(G$25&amp;$A26,回答!$Q$7:$S$256,2+MOD(COLUMN(),2),FALSE),"")</f>
        <v/>
      </c>
      <c r="H26" s="25" t="str">
        <f>_xlfn.IFNA(VLOOKUP(H$25&amp;$A26,回答!$Q$7:$S$256,2+MOD(COLUMN(),2),FALSE),"")</f>
        <v/>
      </c>
      <c r="I26" s="26" t="str">
        <f>_xlfn.IFNA(VLOOKUP(I$25&amp;$A26,回答!$Q$7:$S$256,2+MOD(COLUMN(),2),FALSE),"")</f>
        <v/>
      </c>
      <c r="J26" s="25" t="str">
        <f>_xlfn.IFNA(VLOOKUP(J$25&amp;$A26,回答!$Q$7:$S$256,2+MOD(COLUMN(),2),FALSE),"")</f>
        <v/>
      </c>
      <c r="K26" s="26" t="str">
        <f>_xlfn.IFNA(VLOOKUP(K$25&amp;$A26,回答!$Q$7:$S$256,2+MOD(COLUMN(),2),FALSE),"")</f>
        <v/>
      </c>
      <c r="L26" s="25" t="str">
        <f>_xlfn.IFNA(VLOOKUP(L$25&amp;$A26,回答!$Q$7:$S$256,2+MOD(COLUMN(),2),FALSE),"")</f>
        <v/>
      </c>
      <c r="M26" s="26" t="str">
        <f>_xlfn.IFNA(VLOOKUP(M$25&amp;$A26,回答!$Q$7:$S$256,2+MOD(COLUMN(),2),FALSE),"")</f>
        <v/>
      </c>
    </row>
    <row r="27" spans="1:13" x14ac:dyDescent="0.4">
      <c r="A27" s="22">
        <v>2</v>
      </c>
      <c r="B27" s="25" t="str">
        <f>_xlfn.IFNA(VLOOKUP(B$25&amp;$A27,回答!$Q$7:$S$256,2+MOD(COLUMN(),2),FALSE),"")</f>
        <v/>
      </c>
      <c r="C27" s="26" t="str">
        <f>_xlfn.IFNA(VLOOKUP(C$25&amp;$A27,回答!$Q$7:$S$256,2+MOD(COLUMN(),2),FALSE),"")</f>
        <v/>
      </c>
      <c r="D27" s="25" t="str">
        <f>_xlfn.IFNA(VLOOKUP(D$25&amp;$A27,回答!$Q$7:$S$256,2+MOD(COLUMN(),2),FALSE),"")</f>
        <v/>
      </c>
      <c r="E27" s="26" t="str">
        <f>_xlfn.IFNA(VLOOKUP(E$25&amp;$A27,回答!$Q$7:$S$256,2+MOD(COLUMN(),2),FALSE),"")</f>
        <v/>
      </c>
      <c r="F27" s="25" t="str">
        <f>_xlfn.IFNA(VLOOKUP(F$25&amp;$A27,回答!$Q$7:$S$256,2+MOD(COLUMN(),2),FALSE),"")</f>
        <v/>
      </c>
      <c r="G27" s="26" t="str">
        <f>_xlfn.IFNA(VLOOKUP(G$25&amp;$A27,回答!$Q$7:$S$256,2+MOD(COLUMN(),2),FALSE),"")</f>
        <v/>
      </c>
      <c r="H27" s="25" t="str">
        <f>_xlfn.IFNA(VLOOKUP(H$25&amp;$A27,回答!$Q$7:$S$256,2+MOD(COLUMN(),2),FALSE),"")</f>
        <v/>
      </c>
      <c r="I27" s="26" t="str">
        <f>_xlfn.IFNA(VLOOKUP(I$25&amp;$A27,回答!$Q$7:$S$256,2+MOD(COLUMN(),2),FALSE),"")</f>
        <v/>
      </c>
      <c r="J27" s="25" t="str">
        <f>_xlfn.IFNA(VLOOKUP(J$25&amp;$A27,回答!$Q$7:$S$256,2+MOD(COLUMN(),2),FALSE),"")</f>
        <v/>
      </c>
      <c r="K27" s="26" t="str">
        <f>_xlfn.IFNA(VLOOKUP(K$25&amp;$A27,回答!$Q$7:$S$256,2+MOD(COLUMN(),2),FALSE),"")</f>
        <v/>
      </c>
      <c r="L27" s="25" t="str">
        <f>_xlfn.IFNA(VLOOKUP(L$25&amp;$A27,回答!$Q$7:$S$256,2+MOD(COLUMN(),2),FALSE),"")</f>
        <v/>
      </c>
      <c r="M27" s="26" t="str">
        <f>_xlfn.IFNA(VLOOKUP(M$25&amp;$A27,回答!$Q$7:$S$256,2+MOD(COLUMN(),2),FALSE),"")</f>
        <v/>
      </c>
    </row>
    <row r="28" spans="1:13" x14ac:dyDescent="0.4">
      <c r="A28" s="22">
        <v>3</v>
      </c>
      <c r="B28" s="25" t="str">
        <f>_xlfn.IFNA(VLOOKUP(B$25&amp;$A28,回答!$Q$7:$S$256,2+MOD(COLUMN(),2),FALSE),"")</f>
        <v/>
      </c>
      <c r="C28" s="26" t="str">
        <f>_xlfn.IFNA(VLOOKUP(C$25&amp;$A28,回答!$Q$7:$S$256,2+MOD(COLUMN(),2),FALSE),"")</f>
        <v/>
      </c>
      <c r="D28" s="25" t="str">
        <f>_xlfn.IFNA(VLOOKUP(D$25&amp;$A28,回答!$Q$7:$S$256,2+MOD(COLUMN(),2),FALSE),"")</f>
        <v/>
      </c>
      <c r="E28" s="26" t="str">
        <f>_xlfn.IFNA(VLOOKUP(E$25&amp;$A28,回答!$Q$7:$S$256,2+MOD(COLUMN(),2),FALSE),"")</f>
        <v/>
      </c>
      <c r="F28" s="25" t="str">
        <f>_xlfn.IFNA(VLOOKUP(F$25&amp;$A28,回答!$Q$7:$S$256,2+MOD(COLUMN(),2),FALSE),"")</f>
        <v/>
      </c>
      <c r="G28" s="26" t="str">
        <f>_xlfn.IFNA(VLOOKUP(G$25&amp;$A28,回答!$Q$7:$S$256,2+MOD(COLUMN(),2),FALSE),"")</f>
        <v/>
      </c>
      <c r="H28" s="25" t="str">
        <f>_xlfn.IFNA(VLOOKUP(H$25&amp;$A28,回答!$Q$7:$S$256,2+MOD(COLUMN(),2),FALSE),"")</f>
        <v/>
      </c>
      <c r="I28" s="26" t="str">
        <f>_xlfn.IFNA(VLOOKUP(I$25&amp;$A28,回答!$Q$7:$S$256,2+MOD(COLUMN(),2),FALSE),"")</f>
        <v/>
      </c>
      <c r="J28" s="25" t="str">
        <f>_xlfn.IFNA(VLOOKUP(J$25&amp;$A28,回答!$Q$7:$S$256,2+MOD(COLUMN(),2),FALSE),"")</f>
        <v/>
      </c>
      <c r="K28" s="26" t="str">
        <f>_xlfn.IFNA(VLOOKUP(K$25&amp;$A28,回答!$Q$7:$S$256,2+MOD(COLUMN(),2),FALSE),"")</f>
        <v/>
      </c>
      <c r="L28" s="25" t="str">
        <f>_xlfn.IFNA(VLOOKUP(L$25&amp;$A28,回答!$Q$7:$S$256,2+MOD(COLUMN(),2),FALSE),"")</f>
        <v/>
      </c>
      <c r="M28" s="26" t="str">
        <f>_xlfn.IFNA(VLOOKUP(M$25&amp;$A28,回答!$Q$7:$S$256,2+MOD(COLUMN(),2),FALSE),"")</f>
        <v/>
      </c>
    </row>
    <row r="29" spans="1:13" x14ac:dyDescent="0.4">
      <c r="A29" s="22">
        <v>4</v>
      </c>
      <c r="B29" s="25" t="str">
        <f>_xlfn.IFNA(VLOOKUP(B$25&amp;$A29,回答!$Q$7:$S$256,2+MOD(COLUMN(),2),FALSE),"")</f>
        <v/>
      </c>
      <c r="C29" s="26" t="str">
        <f>_xlfn.IFNA(VLOOKUP(C$25&amp;$A29,回答!$Q$7:$S$256,2+MOD(COLUMN(),2),FALSE),"")</f>
        <v/>
      </c>
      <c r="D29" s="25" t="str">
        <f>_xlfn.IFNA(VLOOKUP(D$25&amp;$A29,回答!$Q$7:$S$256,2+MOD(COLUMN(),2),FALSE),"")</f>
        <v/>
      </c>
      <c r="E29" s="26" t="str">
        <f>_xlfn.IFNA(VLOOKUP(E$25&amp;$A29,回答!$Q$7:$S$256,2+MOD(COLUMN(),2),FALSE),"")</f>
        <v/>
      </c>
      <c r="F29" s="25" t="str">
        <f>_xlfn.IFNA(VLOOKUP(F$25&amp;$A29,回答!$Q$7:$S$256,2+MOD(COLUMN(),2),FALSE),"")</f>
        <v/>
      </c>
      <c r="G29" s="26" t="str">
        <f>_xlfn.IFNA(VLOOKUP(G$25&amp;$A29,回答!$Q$7:$S$256,2+MOD(COLUMN(),2),FALSE),"")</f>
        <v/>
      </c>
      <c r="H29" s="25" t="str">
        <f>_xlfn.IFNA(VLOOKUP(H$25&amp;$A29,回答!$Q$7:$S$256,2+MOD(COLUMN(),2),FALSE),"")</f>
        <v/>
      </c>
      <c r="I29" s="26" t="str">
        <f>_xlfn.IFNA(VLOOKUP(I$25&amp;$A29,回答!$Q$7:$S$256,2+MOD(COLUMN(),2),FALSE),"")</f>
        <v/>
      </c>
      <c r="J29" s="25" t="str">
        <f>_xlfn.IFNA(VLOOKUP(J$25&amp;$A29,回答!$Q$7:$S$256,2+MOD(COLUMN(),2),FALSE),"")</f>
        <v/>
      </c>
      <c r="K29" s="26" t="str">
        <f>_xlfn.IFNA(VLOOKUP(K$25&amp;$A29,回答!$Q$7:$S$256,2+MOD(COLUMN(),2),FALSE),"")</f>
        <v/>
      </c>
      <c r="L29" s="25" t="str">
        <f>_xlfn.IFNA(VLOOKUP(L$25&amp;$A29,回答!$Q$7:$S$256,2+MOD(COLUMN(),2),FALSE),"")</f>
        <v/>
      </c>
      <c r="M29" s="26" t="str">
        <f>_xlfn.IFNA(VLOOKUP(M$25&amp;$A29,回答!$Q$7:$S$256,2+MOD(COLUMN(),2),FALSE),"")</f>
        <v/>
      </c>
    </row>
    <row r="30" spans="1:13" x14ac:dyDescent="0.4">
      <c r="A30" s="22">
        <v>5</v>
      </c>
      <c r="B30" s="25" t="str">
        <f>_xlfn.IFNA(VLOOKUP(B$25&amp;$A30,回答!$Q$7:$S$256,2+MOD(COLUMN(),2),FALSE),"")</f>
        <v/>
      </c>
      <c r="C30" s="26" t="str">
        <f>_xlfn.IFNA(VLOOKUP(C$25&amp;$A30,回答!$Q$7:$S$256,2+MOD(COLUMN(),2),FALSE),"")</f>
        <v/>
      </c>
      <c r="D30" s="25" t="str">
        <f>_xlfn.IFNA(VLOOKUP(D$25&amp;$A30,回答!$Q$7:$S$256,2+MOD(COLUMN(),2),FALSE),"")</f>
        <v/>
      </c>
      <c r="E30" s="26" t="str">
        <f>_xlfn.IFNA(VLOOKUP(E$25&amp;$A30,回答!$Q$7:$S$256,2+MOD(COLUMN(),2),FALSE),"")</f>
        <v/>
      </c>
      <c r="F30" s="25" t="str">
        <f>_xlfn.IFNA(VLOOKUP(F$25&amp;$A30,回答!$Q$7:$S$256,2+MOD(COLUMN(),2),FALSE),"")</f>
        <v/>
      </c>
      <c r="G30" s="26" t="str">
        <f>_xlfn.IFNA(VLOOKUP(G$25&amp;$A30,回答!$Q$7:$S$256,2+MOD(COLUMN(),2),FALSE),"")</f>
        <v/>
      </c>
      <c r="H30" s="25" t="str">
        <f>_xlfn.IFNA(VLOOKUP(H$25&amp;$A30,回答!$Q$7:$S$256,2+MOD(COLUMN(),2),FALSE),"")</f>
        <v/>
      </c>
      <c r="I30" s="26" t="str">
        <f>_xlfn.IFNA(VLOOKUP(I$25&amp;$A30,回答!$Q$7:$S$256,2+MOD(COLUMN(),2),FALSE),"")</f>
        <v/>
      </c>
      <c r="J30" s="25" t="str">
        <f>_xlfn.IFNA(VLOOKUP(J$25&amp;$A30,回答!$Q$7:$S$256,2+MOD(COLUMN(),2),FALSE),"")</f>
        <v/>
      </c>
      <c r="K30" s="26" t="str">
        <f>_xlfn.IFNA(VLOOKUP(K$25&amp;$A30,回答!$Q$7:$S$256,2+MOD(COLUMN(),2),FALSE),"")</f>
        <v/>
      </c>
      <c r="L30" s="25" t="str">
        <f>_xlfn.IFNA(VLOOKUP(L$25&amp;$A30,回答!$Q$7:$S$256,2+MOD(COLUMN(),2),FALSE),"")</f>
        <v/>
      </c>
      <c r="M30" s="26" t="str">
        <f>_xlfn.IFNA(VLOOKUP(M$25&amp;$A30,回答!$Q$7:$S$256,2+MOD(COLUMN(),2),FALSE),"")</f>
        <v/>
      </c>
    </row>
    <row r="31" spans="1:13" x14ac:dyDescent="0.4">
      <c r="A31" s="22">
        <v>6</v>
      </c>
      <c r="B31" s="25" t="str">
        <f>_xlfn.IFNA(VLOOKUP(B$25&amp;$A31,回答!$Q$7:$S$256,2+MOD(COLUMN(),2),FALSE),"")</f>
        <v/>
      </c>
      <c r="C31" s="26" t="str">
        <f>_xlfn.IFNA(VLOOKUP(C$25&amp;$A31,回答!$Q$7:$S$256,2+MOD(COLUMN(),2),FALSE),"")</f>
        <v/>
      </c>
      <c r="D31" s="25" t="str">
        <f>_xlfn.IFNA(VLOOKUP(D$25&amp;$A31,回答!$Q$7:$S$256,2+MOD(COLUMN(),2),FALSE),"")</f>
        <v/>
      </c>
      <c r="E31" s="26" t="str">
        <f>_xlfn.IFNA(VLOOKUP(E$25&amp;$A31,回答!$Q$7:$S$256,2+MOD(COLUMN(),2),FALSE),"")</f>
        <v/>
      </c>
      <c r="F31" s="25" t="str">
        <f>_xlfn.IFNA(VLOOKUP(F$25&amp;$A31,回答!$Q$7:$S$256,2+MOD(COLUMN(),2),FALSE),"")</f>
        <v/>
      </c>
      <c r="G31" s="26" t="str">
        <f>_xlfn.IFNA(VLOOKUP(G$25&amp;$A31,回答!$Q$7:$S$256,2+MOD(COLUMN(),2),FALSE),"")</f>
        <v/>
      </c>
      <c r="H31" s="25" t="str">
        <f>_xlfn.IFNA(VLOOKUP(H$25&amp;$A31,回答!$Q$7:$S$256,2+MOD(COLUMN(),2),FALSE),"")</f>
        <v/>
      </c>
      <c r="I31" s="26" t="str">
        <f>_xlfn.IFNA(VLOOKUP(I$25&amp;$A31,回答!$Q$7:$S$256,2+MOD(COLUMN(),2),FALSE),"")</f>
        <v/>
      </c>
      <c r="J31" s="25" t="str">
        <f>_xlfn.IFNA(VLOOKUP(J$25&amp;$A31,回答!$Q$7:$S$256,2+MOD(COLUMN(),2),FALSE),"")</f>
        <v/>
      </c>
      <c r="K31" s="26" t="str">
        <f>_xlfn.IFNA(VLOOKUP(K$25&amp;$A31,回答!$Q$7:$S$256,2+MOD(COLUMN(),2),FALSE),"")</f>
        <v/>
      </c>
      <c r="L31" s="25" t="str">
        <f>_xlfn.IFNA(VLOOKUP(L$25&amp;$A31,回答!$Q$7:$S$256,2+MOD(COLUMN(),2),FALSE),"")</f>
        <v/>
      </c>
      <c r="M31" s="26" t="str">
        <f>_xlfn.IFNA(VLOOKUP(M$25&amp;$A31,回答!$Q$7:$S$256,2+MOD(COLUMN(),2),FALSE),"")</f>
        <v/>
      </c>
    </row>
    <row r="32" spans="1:13" x14ac:dyDescent="0.4">
      <c r="A32" s="22">
        <v>7</v>
      </c>
      <c r="B32" s="25" t="str">
        <f>_xlfn.IFNA(VLOOKUP(B$25&amp;$A32,回答!$Q$7:$S$256,2+MOD(COLUMN(),2),FALSE),"")</f>
        <v/>
      </c>
      <c r="C32" s="26" t="str">
        <f>_xlfn.IFNA(VLOOKUP(C$25&amp;$A32,回答!$Q$7:$S$256,2+MOD(COLUMN(),2),FALSE),"")</f>
        <v/>
      </c>
      <c r="D32" s="25" t="str">
        <f>_xlfn.IFNA(VLOOKUP(D$25&amp;$A32,回答!$Q$7:$S$256,2+MOD(COLUMN(),2),FALSE),"")</f>
        <v/>
      </c>
      <c r="E32" s="26" t="str">
        <f>_xlfn.IFNA(VLOOKUP(E$25&amp;$A32,回答!$Q$7:$S$256,2+MOD(COLUMN(),2),FALSE),"")</f>
        <v/>
      </c>
      <c r="F32" s="25" t="str">
        <f>_xlfn.IFNA(VLOOKUP(F$25&amp;$A32,回答!$Q$7:$S$256,2+MOD(COLUMN(),2),FALSE),"")</f>
        <v/>
      </c>
      <c r="G32" s="26" t="str">
        <f>_xlfn.IFNA(VLOOKUP(G$25&amp;$A32,回答!$Q$7:$S$256,2+MOD(COLUMN(),2),FALSE),"")</f>
        <v/>
      </c>
      <c r="H32" s="25" t="str">
        <f>_xlfn.IFNA(VLOOKUP(H$25&amp;$A32,回答!$Q$7:$S$256,2+MOD(COLUMN(),2),FALSE),"")</f>
        <v/>
      </c>
      <c r="I32" s="26" t="str">
        <f>_xlfn.IFNA(VLOOKUP(I$25&amp;$A32,回答!$Q$7:$S$256,2+MOD(COLUMN(),2),FALSE),"")</f>
        <v/>
      </c>
      <c r="J32" s="25" t="str">
        <f>_xlfn.IFNA(VLOOKUP(J$25&amp;$A32,回答!$Q$7:$S$256,2+MOD(COLUMN(),2),FALSE),"")</f>
        <v/>
      </c>
      <c r="K32" s="26" t="str">
        <f>_xlfn.IFNA(VLOOKUP(K$25&amp;$A32,回答!$Q$7:$S$256,2+MOD(COLUMN(),2),FALSE),"")</f>
        <v/>
      </c>
      <c r="L32" s="25" t="str">
        <f>_xlfn.IFNA(VLOOKUP(L$25&amp;$A32,回答!$Q$7:$S$256,2+MOD(COLUMN(),2),FALSE),"")</f>
        <v/>
      </c>
      <c r="M32" s="26" t="str">
        <f>_xlfn.IFNA(VLOOKUP(M$25&amp;$A32,回答!$Q$7:$S$256,2+MOD(COLUMN(),2),FALSE),"")</f>
        <v/>
      </c>
    </row>
    <row r="33" spans="1:13" x14ac:dyDescent="0.4">
      <c r="A33" s="22">
        <v>8</v>
      </c>
      <c r="B33" s="25" t="str">
        <f>_xlfn.IFNA(VLOOKUP(B$25&amp;$A33,回答!$Q$7:$S$256,2+MOD(COLUMN(),2),FALSE),"")</f>
        <v/>
      </c>
      <c r="C33" s="26" t="str">
        <f>_xlfn.IFNA(VLOOKUP(C$25&amp;$A33,回答!$Q$7:$S$256,2+MOD(COLUMN(),2),FALSE),"")</f>
        <v/>
      </c>
      <c r="D33" s="25" t="str">
        <f>_xlfn.IFNA(VLOOKUP(D$25&amp;$A33,回答!$Q$7:$S$256,2+MOD(COLUMN(),2),FALSE),"")</f>
        <v/>
      </c>
      <c r="E33" s="26" t="str">
        <f>_xlfn.IFNA(VLOOKUP(E$25&amp;$A33,回答!$Q$7:$S$256,2+MOD(COLUMN(),2),FALSE),"")</f>
        <v/>
      </c>
      <c r="F33" s="25" t="str">
        <f>_xlfn.IFNA(VLOOKUP(F$25&amp;$A33,回答!$Q$7:$S$256,2+MOD(COLUMN(),2),FALSE),"")</f>
        <v/>
      </c>
      <c r="G33" s="26" t="str">
        <f>_xlfn.IFNA(VLOOKUP(G$25&amp;$A33,回答!$Q$7:$S$256,2+MOD(COLUMN(),2),FALSE),"")</f>
        <v/>
      </c>
      <c r="H33" s="25" t="str">
        <f>_xlfn.IFNA(VLOOKUP(H$25&amp;$A33,回答!$Q$7:$S$256,2+MOD(COLUMN(),2),FALSE),"")</f>
        <v/>
      </c>
      <c r="I33" s="26" t="str">
        <f>_xlfn.IFNA(VLOOKUP(I$25&amp;$A33,回答!$Q$7:$S$256,2+MOD(COLUMN(),2),FALSE),"")</f>
        <v/>
      </c>
      <c r="J33" s="25" t="str">
        <f>_xlfn.IFNA(VLOOKUP(J$25&amp;$A33,回答!$Q$7:$S$256,2+MOD(COLUMN(),2),FALSE),"")</f>
        <v/>
      </c>
      <c r="K33" s="26" t="str">
        <f>_xlfn.IFNA(VLOOKUP(K$25&amp;$A33,回答!$Q$7:$S$256,2+MOD(COLUMN(),2),FALSE),"")</f>
        <v/>
      </c>
      <c r="L33" s="25" t="str">
        <f>_xlfn.IFNA(VLOOKUP(L$25&amp;$A33,回答!$Q$7:$S$256,2+MOD(COLUMN(),2),FALSE),"")</f>
        <v/>
      </c>
      <c r="M33" s="26" t="str">
        <f>_xlfn.IFNA(VLOOKUP(M$25&amp;$A33,回答!$Q$7:$S$256,2+MOD(COLUMN(),2),FALSE),"")</f>
        <v/>
      </c>
    </row>
    <row r="34" spans="1:13" x14ac:dyDescent="0.4">
      <c r="A34" s="22">
        <v>9</v>
      </c>
      <c r="B34" s="25" t="str">
        <f>_xlfn.IFNA(VLOOKUP(B$25&amp;$A34,回答!$Q$7:$S$256,2+MOD(COLUMN(),2),FALSE),"")</f>
        <v/>
      </c>
      <c r="C34" s="26" t="str">
        <f>_xlfn.IFNA(VLOOKUP(C$25&amp;$A34,回答!$Q$7:$S$256,2+MOD(COLUMN(),2),FALSE),"")</f>
        <v/>
      </c>
      <c r="D34" s="25" t="str">
        <f>_xlfn.IFNA(VLOOKUP(D$25&amp;$A34,回答!$Q$7:$S$256,2+MOD(COLUMN(),2),FALSE),"")</f>
        <v/>
      </c>
      <c r="E34" s="26" t="str">
        <f>_xlfn.IFNA(VLOOKUP(E$25&amp;$A34,回答!$Q$7:$S$256,2+MOD(COLUMN(),2),FALSE),"")</f>
        <v/>
      </c>
      <c r="F34" s="25" t="str">
        <f>_xlfn.IFNA(VLOOKUP(F$25&amp;$A34,回答!$Q$7:$S$256,2+MOD(COLUMN(),2),FALSE),"")</f>
        <v/>
      </c>
      <c r="G34" s="26" t="str">
        <f>_xlfn.IFNA(VLOOKUP(G$25&amp;$A34,回答!$Q$7:$S$256,2+MOD(COLUMN(),2),FALSE),"")</f>
        <v/>
      </c>
      <c r="H34" s="25" t="str">
        <f>_xlfn.IFNA(VLOOKUP(H$25&amp;$A34,回答!$Q$7:$S$256,2+MOD(COLUMN(),2),FALSE),"")</f>
        <v/>
      </c>
      <c r="I34" s="26" t="str">
        <f>_xlfn.IFNA(VLOOKUP(I$25&amp;$A34,回答!$Q$7:$S$256,2+MOD(COLUMN(),2),FALSE),"")</f>
        <v/>
      </c>
      <c r="J34" s="25" t="str">
        <f>_xlfn.IFNA(VLOOKUP(J$25&amp;$A34,回答!$Q$7:$S$256,2+MOD(COLUMN(),2),FALSE),"")</f>
        <v/>
      </c>
      <c r="K34" s="26" t="str">
        <f>_xlfn.IFNA(VLOOKUP(K$25&amp;$A34,回答!$Q$7:$S$256,2+MOD(COLUMN(),2),FALSE),"")</f>
        <v/>
      </c>
      <c r="L34" s="25" t="str">
        <f>_xlfn.IFNA(VLOOKUP(L$25&amp;$A34,回答!$Q$7:$S$256,2+MOD(COLUMN(),2),FALSE),"")</f>
        <v/>
      </c>
      <c r="M34" s="26" t="str">
        <f>_xlfn.IFNA(VLOOKUP(M$25&amp;$A34,回答!$Q$7:$S$256,2+MOD(COLUMN(),2),FALSE),"")</f>
        <v/>
      </c>
    </row>
    <row r="35" spans="1:13" x14ac:dyDescent="0.4">
      <c r="A35" s="22">
        <v>10</v>
      </c>
      <c r="B35" s="25" t="str">
        <f>_xlfn.IFNA(VLOOKUP(B$25&amp;$A35,回答!$Q$7:$S$256,2+MOD(COLUMN(),2),FALSE),"")</f>
        <v/>
      </c>
      <c r="C35" s="26" t="str">
        <f>_xlfn.IFNA(VLOOKUP(C$25&amp;$A35,回答!$Q$7:$S$256,2+MOD(COLUMN(),2),FALSE),"")</f>
        <v/>
      </c>
      <c r="D35" s="25" t="str">
        <f>_xlfn.IFNA(VLOOKUP(D$25&amp;$A35,回答!$Q$7:$S$256,2+MOD(COLUMN(),2),FALSE),"")</f>
        <v/>
      </c>
      <c r="E35" s="26" t="str">
        <f>_xlfn.IFNA(VLOOKUP(E$25&amp;$A35,回答!$Q$7:$S$256,2+MOD(COLUMN(),2),FALSE),"")</f>
        <v/>
      </c>
      <c r="F35" s="25" t="str">
        <f>_xlfn.IFNA(VLOOKUP(F$25&amp;$A35,回答!$Q$7:$S$256,2+MOD(COLUMN(),2),FALSE),"")</f>
        <v/>
      </c>
      <c r="G35" s="26" t="str">
        <f>_xlfn.IFNA(VLOOKUP(G$25&amp;$A35,回答!$Q$7:$S$256,2+MOD(COLUMN(),2),FALSE),"")</f>
        <v/>
      </c>
      <c r="H35" s="25" t="str">
        <f>_xlfn.IFNA(VLOOKUP(H$25&amp;$A35,回答!$Q$7:$S$256,2+MOD(COLUMN(),2),FALSE),"")</f>
        <v/>
      </c>
      <c r="I35" s="26" t="str">
        <f>_xlfn.IFNA(VLOOKUP(I$25&amp;$A35,回答!$Q$7:$S$256,2+MOD(COLUMN(),2),FALSE),"")</f>
        <v/>
      </c>
      <c r="J35" s="25" t="str">
        <f>_xlfn.IFNA(VLOOKUP(J$25&amp;$A35,回答!$Q$7:$S$256,2+MOD(COLUMN(),2),FALSE),"")</f>
        <v/>
      </c>
      <c r="K35" s="26" t="str">
        <f>_xlfn.IFNA(VLOOKUP(K$25&amp;$A35,回答!$Q$7:$S$256,2+MOD(COLUMN(),2),FALSE),"")</f>
        <v/>
      </c>
      <c r="L35" s="25" t="str">
        <f>_xlfn.IFNA(VLOOKUP(L$25&amp;$A35,回答!$Q$7:$S$256,2+MOD(COLUMN(),2),FALSE),"")</f>
        <v/>
      </c>
      <c r="M35" s="26" t="str">
        <f>_xlfn.IFNA(VLOOKUP(M$25&amp;$A35,回答!$Q$7:$S$256,2+MOD(COLUMN(),2),FALSE),"")</f>
        <v/>
      </c>
    </row>
    <row r="36" spans="1:13" x14ac:dyDescent="0.4">
      <c r="A36" s="22">
        <v>11</v>
      </c>
      <c r="B36" s="25" t="str">
        <f>_xlfn.IFNA(VLOOKUP(B$25&amp;$A36,回答!$Q$7:$S$256,2+MOD(COLUMN(),2),FALSE),"")</f>
        <v/>
      </c>
      <c r="C36" s="26" t="str">
        <f>_xlfn.IFNA(VLOOKUP(C$25&amp;$A36,回答!$Q$7:$S$256,2+MOD(COLUMN(),2),FALSE),"")</f>
        <v/>
      </c>
      <c r="D36" s="25" t="str">
        <f>_xlfn.IFNA(VLOOKUP(D$25&amp;$A36,回答!$Q$7:$S$256,2+MOD(COLUMN(),2),FALSE),"")</f>
        <v/>
      </c>
      <c r="E36" s="26" t="str">
        <f>_xlfn.IFNA(VLOOKUP(E$25&amp;$A36,回答!$Q$7:$S$256,2+MOD(COLUMN(),2),FALSE),"")</f>
        <v/>
      </c>
      <c r="F36" s="25" t="str">
        <f>_xlfn.IFNA(VLOOKUP(F$25&amp;$A36,回答!$Q$7:$S$256,2+MOD(COLUMN(),2),FALSE),"")</f>
        <v/>
      </c>
      <c r="G36" s="26" t="str">
        <f>_xlfn.IFNA(VLOOKUP(G$25&amp;$A36,回答!$Q$7:$S$256,2+MOD(COLUMN(),2),FALSE),"")</f>
        <v/>
      </c>
      <c r="H36" s="25" t="str">
        <f>_xlfn.IFNA(VLOOKUP(H$25&amp;$A36,回答!$Q$7:$S$256,2+MOD(COLUMN(),2),FALSE),"")</f>
        <v/>
      </c>
      <c r="I36" s="26" t="str">
        <f>_xlfn.IFNA(VLOOKUP(I$25&amp;$A36,回答!$Q$7:$S$256,2+MOD(COLUMN(),2),FALSE),"")</f>
        <v/>
      </c>
      <c r="J36" s="25" t="str">
        <f>_xlfn.IFNA(VLOOKUP(J$25&amp;$A36,回答!$Q$7:$S$256,2+MOD(COLUMN(),2),FALSE),"")</f>
        <v/>
      </c>
      <c r="K36" s="26" t="str">
        <f>_xlfn.IFNA(VLOOKUP(K$25&amp;$A36,回答!$Q$7:$S$256,2+MOD(COLUMN(),2),FALSE),"")</f>
        <v/>
      </c>
      <c r="L36" s="25" t="str">
        <f>_xlfn.IFNA(VLOOKUP(L$25&amp;$A36,回答!$Q$7:$S$256,2+MOD(COLUMN(),2),FALSE),"")</f>
        <v/>
      </c>
      <c r="M36" s="26" t="str">
        <f>_xlfn.IFNA(VLOOKUP(M$25&amp;$A36,回答!$Q$7:$S$256,2+MOD(COLUMN(),2),FALSE),"")</f>
        <v/>
      </c>
    </row>
    <row r="37" spans="1:13" x14ac:dyDescent="0.4">
      <c r="A37" s="22">
        <v>12</v>
      </c>
      <c r="B37" s="25" t="str">
        <f>_xlfn.IFNA(VLOOKUP(B$25&amp;$A37,回答!$Q$7:$S$256,2+MOD(COLUMN(),2),FALSE),"")</f>
        <v/>
      </c>
      <c r="C37" s="26" t="str">
        <f>_xlfn.IFNA(VLOOKUP(C$25&amp;$A37,回答!$Q$7:$S$256,2+MOD(COLUMN(),2),FALSE),"")</f>
        <v/>
      </c>
      <c r="D37" s="25" t="str">
        <f>_xlfn.IFNA(VLOOKUP(D$25&amp;$A37,回答!$Q$7:$S$256,2+MOD(COLUMN(),2),FALSE),"")</f>
        <v/>
      </c>
      <c r="E37" s="26" t="str">
        <f>_xlfn.IFNA(VLOOKUP(E$25&amp;$A37,回答!$Q$7:$S$256,2+MOD(COLUMN(),2),FALSE),"")</f>
        <v/>
      </c>
      <c r="F37" s="25" t="str">
        <f>_xlfn.IFNA(VLOOKUP(F$25&amp;$A37,回答!$Q$7:$S$256,2+MOD(COLUMN(),2),FALSE),"")</f>
        <v/>
      </c>
      <c r="G37" s="26" t="str">
        <f>_xlfn.IFNA(VLOOKUP(G$25&amp;$A37,回答!$Q$7:$S$256,2+MOD(COLUMN(),2),FALSE),"")</f>
        <v/>
      </c>
      <c r="H37" s="25" t="str">
        <f>_xlfn.IFNA(VLOOKUP(H$25&amp;$A37,回答!$Q$7:$S$256,2+MOD(COLUMN(),2),FALSE),"")</f>
        <v/>
      </c>
      <c r="I37" s="26" t="str">
        <f>_xlfn.IFNA(VLOOKUP(I$25&amp;$A37,回答!$Q$7:$S$256,2+MOD(COLUMN(),2),FALSE),"")</f>
        <v/>
      </c>
      <c r="J37" s="25" t="str">
        <f>_xlfn.IFNA(VLOOKUP(J$25&amp;$A37,回答!$Q$7:$S$256,2+MOD(COLUMN(),2),FALSE),"")</f>
        <v/>
      </c>
      <c r="K37" s="26" t="str">
        <f>_xlfn.IFNA(VLOOKUP(K$25&amp;$A37,回答!$Q$7:$S$256,2+MOD(COLUMN(),2),FALSE),"")</f>
        <v/>
      </c>
      <c r="L37" s="25" t="str">
        <f>_xlfn.IFNA(VLOOKUP(L$25&amp;$A37,回答!$Q$7:$S$256,2+MOD(COLUMN(),2),FALSE),"")</f>
        <v/>
      </c>
      <c r="M37" s="26" t="str">
        <f>_xlfn.IFNA(VLOOKUP(M$25&amp;$A37,回答!$Q$7:$S$256,2+MOD(COLUMN(),2),FALSE),"")</f>
        <v/>
      </c>
    </row>
    <row r="38" spans="1:13" x14ac:dyDescent="0.4">
      <c r="A38" s="22">
        <v>13</v>
      </c>
      <c r="B38" s="25" t="str">
        <f>_xlfn.IFNA(VLOOKUP(B$25&amp;$A38,回答!$Q$7:$S$256,2+MOD(COLUMN(),2),FALSE),"")</f>
        <v/>
      </c>
      <c r="C38" s="26" t="str">
        <f>_xlfn.IFNA(VLOOKUP(C$25&amp;$A38,回答!$Q$7:$S$256,2+MOD(COLUMN(),2),FALSE),"")</f>
        <v/>
      </c>
      <c r="D38" s="25" t="str">
        <f>_xlfn.IFNA(VLOOKUP(D$25&amp;$A38,回答!$Q$7:$S$256,2+MOD(COLUMN(),2),FALSE),"")</f>
        <v/>
      </c>
      <c r="E38" s="26" t="str">
        <f>_xlfn.IFNA(VLOOKUP(E$25&amp;$A38,回答!$Q$7:$S$256,2+MOD(COLUMN(),2),FALSE),"")</f>
        <v/>
      </c>
      <c r="F38" s="25" t="str">
        <f>_xlfn.IFNA(VLOOKUP(F$25&amp;$A38,回答!$Q$7:$S$256,2+MOD(COLUMN(),2),FALSE),"")</f>
        <v/>
      </c>
      <c r="G38" s="26" t="str">
        <f>_xlfn.IFNA(VLOOKUP(G$25&amp;$A38,回答!$Q$7:$S$256,2+MOD(COLUMN(),2),FALSE),"")</f>
        <v/>
      </c>
      <c r="H38" s="25" t="str">
        <f>_xlfn.IFNA(VLOOKUP(H$25&amp;$A38,回答!$Q$7:$S$256,2+MOD(COLUMN(),2),FALSE),"")</f>
        <v/>
      </c>
      <c r="I38" s="26" t="str">
        <f>_xlfn.IFNA(VLOOKUP(I$25&amp;$A38,回答!$Q$7:$S$256,2+MOD(COLUMN(),2),FALSE),"")</f>
        <v/>
      </c>
      <c r="J38" s="25" t="str">
        <f>_xlfn.IFNA(VLOOKUP(J$25&amp;$A38,回答!$Q$7:$S$256,2+MOD(COLUMN(),2),FALSE),"")</f>
        <v/>
      </c>
      <c r="K38" s="26" t="str">
        <f>_xlfn.IFNA(VLOOKUP(K$25&amp;$A38,回答!$Q$7:$S$256,2+MOD(COLUMN(),2),FALSE),"")</f>
        <v/>
      </c>
      <c r="L38" s="25" t="str">
        <f>_xlfn.IFNA(VLOOKUP(L$25&amp;$A38,回答!$Q$7:$S$256,2+MOD(COLUMN(),2),FALSE),"")</f>
        <v/>
      </c>
      <c r="M38" s="26" t="str">
        <f>_xlfn.IFNA(VLOOKUP(M$25&amp;$A38,回答!$Q$7:$S$256,2+MOD(COLUMN(),2),FALSE),"")</f>
        <v/>
      </c>
    </row>
    <row r="39" spans="1:13" hidden="1" x14ac:dyDescent="0.4">
      <c r="A39" s="22">
        <v>14</v>
      </c>
      <c r="B39" s="25" t="str">
        <f>_xlfn.IFNA(VLOOKUP(B$25&amp;$A39,回答!$Q$7:$S$256,2+MOD(COLUMN(),2),FALSE),"")</f>
        <v/>
      </c>
      <c r="C39" s="26" t="str">
        <f>_xlfn.IFNA(VLOOKUP(C$25&amp;$A39,回答!$Q$7:$S$256,2+MOD(COLUMN(),2),FALSE),"")</f>
        <v/>
      </c>
      <c r="D39" s="25" t="str">
        <f>_xlfn.IFNA(VLOOKUP(D$25&amp;$A39,回答!$Q$7:$S$256,2+MOD(COLUMN(),2),FALSE),"")</f>
        <v/>
      </c>
      <c r="E39" s="26" t="str">
        <f>_xlfn.IFNA(VLOOKUP(E$25&amp;$A39,回答!$Q$7:$S$256,2+MOD(COLUMN(),2),FALSE),"")</f>
        <v/>
      </c>
      <c r="F39" s="25" t="str">
        <f>_xlfn.IFNA(VLOOKUP(F$25&amp;$A39,回答!$Q$7:$S$256,2+MOD(COLUMN(),2),FALSE),"")</f>
        <v/>
      </c>
      <c r="G39" s="26" t="str">
        <f>_xlfn.IFNA(VLOOKUP(G$25&amp;$A39,回答!$Q$7:$S$256,2+MOD(COLUMN(),2),FALSE),"")</f>
        <v/>
      </c>
      <c r="H39" s="25" t="str">
        <f>_xlfn.IFNA(VLOOKUP(H$25&amp;$A39,回答!$Q$7:$S$256,2+MOD(COLUMN(),2),FALSE),"")</f>
        <v/>
      </c>
      <c r="I39" s="26" t="str">
        <f>_xlfn.IFNA(VLOOKUP(I$25&amp;$A39,回答!$Q$7:$S$256,2+MOD(COLUMN(),2),FALSE),"")</f>
        <v/>
      </c>
      <c r="J39" s="25" t="str">
        <f>_xlfn.IFNA(VLOOKUP(J$25&amp;$A39,回答!$Q$7:$S$256,2+MOD(COLUMN(),2),FALSE),"")</f>
        <v/>
      </c>
      <c r="K39" s="26" t="str">
        <f>_xlfn.IFNA(VLOOKUP(K$25&amp;$A39,回答!$Q$7:$S$256,2+MOD(COLUMN(),2),FALSE),"")</f>
        <v/>
      </c>
      <c r="L39" s="25" t="str">
        <f>_xlfn.IFNA(VLOOKUP(L$25&amp;$A39,回答!$Q$7:$S$256,2+MOD(COLUMN(),2),FALSE),"")</f>
        <v/>
      </c>
      <c r="M39" s="26" t="str">
        <f>_xlfn.IFNA(VLOOKUP(M$25&amp;$A39,回答!$Q$7:$S$256,2+MOD(COLUMN(),2),FALSE),"")</f>
        <v/>
      </c>
    </row>
    <row r="40" spans="1:13" hidden="1" x14ac:dyDescent="0.4">
      <c r="A40" s="22">
        <v>15</v>
      </c>
      <c r="B40" s="25" t="str">
        <f>_xlfn.IFNA(VLOOKUP(B$25&amp;$A40,回答!$Q$7:$S$256,2+MOD(COLUMN(),2),FALSE),"")</f>
        <v/>
      </c>
      <c r="C40" s="26" t="str">
        <f>_xlfn.IFNA(VLOOKUP(C$25&amp;$A40,回答!$Q$7:$S$256,2+MOD(COLUMN(),2),FALSE),"")</f>
        <v/>
      </c>
      <c r="D40" s="25" t="str">
        <f>_xlfn.IFNA(VLOOKUP(D$25&amp;$A40,回答!$Q$7:$S$256,2+MOD(COLUMN(),2),FALSE),"")</f>
        <v/>
      </c>
      <c r="E40" s="26" t="str">
        <f>_xlfn.IFNA(VLOOKUP(E$25&amp;$A40,回答!$Q$7:$S$256,2+MOD(COLUMN(),2),FALSE),"")</f>
        <v/>
      </c>
      <c r="F40" s="25" t="str">
        <f>_xlfn.IFNA(VLOOKUP(F$25&amp;$A40,回答!$Q$7:$S$256,2+MOD(COLUMN(),2),FALSE),"")</f>
        <v/>
      </c>
      <c r="G40" s="26" t="str">
        <f>_xlfn.IFNA(VLOOKUP(G$25&amp;$A40,回答!$Q$7:$S$256,2+MOD(COLUMN(),2),FALSE),"")</f>
        <v/>
      </c>
      <c r="H40" s="25" t="str">
        <f>_xlfn.IFNA(VLOOKUP(H$25&amp;$A40,回答!$Q$7:$S$256,2+MOD(COLUMN(),2),FALSE),"")</f>
        <v/>
      </c>
      <c r="I40" s="26" t="str">
        <f>_xlfn.IFNA(VLOOKUP(I$25&amp;$A40,回答!$Q$7:$S$256,2+MOD(COLUMN(),2),FALSE),"")</f>
        <v/>
      </c>
      <c r="J40" s="25" t="str">
        <f>_xlfn.IFNA(VLOOKUP(J$25&amp;$A40,回答!$Q$7:$S$256,2+MOD(COLUMN(),2),FALSE),"")</f>
        <v/>
      </c>
      <c r="K40" s="26" t="str">
        <f>_xlfn.IFNA(VLOOKUP(K$25&amp;$A40,回答!$Q$7:$S$256,2+MOD(COLUMN(),2),FALSE),"")</f>
        <v/>
      </c>
      <c r="L40" s="25" t="str">
        <f>_xlfn.IFNA(VLOOKUP(L$25&amp;$A40,回答!$Q$7:$S$256,2+MOD(COLUMN(),2),FALSE),"")</f>
        <v/>
      </c>
      <c r="M40" s="26" t="str">
        <f>_xlfn.IFNA(VLOOKUP(M$25&amp;$A40,回答!$Q$7:$S$256,2+MOD(COLUMN(),2),FALSE),"")</f>
        <v/>
      </c>
    </row>
    <row r="41" spans="1:13" hidden="1" x14ac:dyDescent="0.4">
      <c r="A41" s="22">
        <v>16</v>
      </c>
      <c r="B41" s="25" t="str">
        <f>_xlfn.IFNA(VLOOKUP(B$25&amp;$A41,回答!$Q$7:$S$256,2+MOD(COLUMN(),2),FALSE),"")</f>
        <v/>
      </c>
      <c r="C41" s="26" t="str">
        <f>_xlfn.IFNA(VLOOKUP(C$25&amp;$A41,回答!$Q$7:$S$256,2+MOD(COLUMN(),2),FALSE),"")</f>
        <v/>
      </c>
      <c r="D41" s="25" t="str">
        <f>_xlfn.IFNA(VLOOKUP(D$25&amp;$A41,回答!$Q$7:$S$256,2+MOD(COLUMN(),2),FALSE),"")</f>
        <v/>
      </c>
      <c r="E41" s="26" t="str">
        <f>_xlfn.IFNA(VLOOKUP(E$25&amp;$A41,回答!$Q$7:$S$256,2+MOD(COLUMN(),2),FALSE),"")</f>
        <v/>
      </c>
      <c r="F41" s="25" t="str">
        <f>_xlfn.IFNA(VLOOKUP(F$25&amp;$A41,回答!$Q$7:$S$256,2+MOD(COLUMN(),2),FALSE),"")</f>
        <v/>
      </c>
      <c r="G41" s="26" t="str">
        <f>_xlfn.IFNA(VLOOKUP(G$25&amp;$A41,回答!$Q$7:$S$256,2+MOD(COLUMN(),2),FALSE),"")</f>
        <v/>
      </c>
      <c r="H41" s="25" t="str">
        <f>_xlfn.IFNA(VLOOKUP(H$25&amp;$A41,回答!$Q$7:$S$256,2+MOD(COLUMN(),2),FALSE),"")</f>
        <v/>
      </c>
      <c r="I41" s="26" t="str">
        <f>_xlfn.IFNA(VLOOKUP(I$25&amp;$A41,回答!$Q$7:$S$256,2+MOD(COLUMN(),2),FALSE),"")</f>
        <v/>
      </c>
      <c r="J41" s="25" t="str">
        <f>_xlfn.IFNA(VLOOKUP(J$25&amp;$A41,回答!$Q$7:$S$256,2+MOD(COLUMN(),2),FALSE),"")</f>
        <v/>
      </c>
      <c r="K41" s="26" t="str">
        <f>_xlfn.IFNA(VLOOKUP(K$25&amp;$A41,回答!$Q$7:$S$256,2+MOD(COLUMN(),2),FALSE),"")</f>
        <v/>
      </c>
      <c r="L41" s="25" t="str">
        <f>_xlfn.IFNA(VLOOKUP(L$25&amp;$A41,回答!$Q$7:$S$256,2+MOD(COLUMN(),2),FALSE),"")</f>
        <v/>
      </c>
      <c r="M41" s="26" t="str">
        <f>_xlfn.IFNA(VLOOKUP(M$25&amp;$A41,回答!$Q$7:$S$256,2+MOD(COLUMN(),2),FALSE),"")</f>
        <v/>
      </c>
    </row>
    <row r="42" spans="1:13" hidden="1" x14ac:dyDescent="0.4">
      <c r="A42" s="22">
        <v>17</v>
      </c>
      <c r="B42" s="25" t="str">
        <f>_xlfn.IFNA(VLOOKUP(B$25&amp;$A42,回答!$Q$7:$S$256,2+MOD(COLUMN(),2),FALSE),"")</f>
        <v/>
      </c>
      <c r="C42" s="26" t="str">
        <f>_xlfn.IFNA(VLOOKUP(C$25&amp;$A42,回答!$Q$7:$S$256,2+MOD(COLUMN(),2),FALSE),"")</f>
        <v/>
      </c>
      <c r="D42" s="25" t="str">
        <f>_xlfn.IFNA(VLOOKUP(D$25&amp;$A42,回答!$Q$7:$S$256,2+MOD(COLUMN(),2),FALSE),"")</f>
        <v/>
      </c>
      <c r="E42" s="26" t="str">
        <f>_xlfn.IFNA(VLOOKUP(E$25&amp;$A42,回答!$Q$7:$S$256,2+MOD(COLUMN(),2),FALSE),"")</f>
        <v/>
      </c>
      <c r="F42" s="25" t="str">
        <f>_xlfn.IFNA(VLOOKUP(F$25&amp;$A42,回答!$Q$7:$S$256,2+MOD(COLUMN(),2),FALSE),"")</f>
        <v/>
      </c>
      <c r="G42" s="26" t="str">
        <f>_xlfn.IFNA(VLOOKUP(G$25&amp;$A42,回答!$Q$7:$S$256,2+MOD(COLUMN(),2),FALSE),"")</f>
        <v/>
      </c>
      <c r="H42" s="25" t="str">
        <f>_xlfn.IFNA(VLOOKUP(H$25&amp;$A42,回答!$Q$7:$S$256,2+MOD(COLUMN(),2),FALSE),"")</f>
        <v/>
      </c>
      <c r="I42" s="26" t="str">
        <f>_xlfn.IFNA(VLOOKUP(I$25&amp;$A42,回答!$Q$7:$S$256,2+MOD(COLUMN(),2),FALSE),"")</f>
        <v/>
      </c>
      <c r="J42" s="25" t="str">
        <f>_xlfn.IFNA(VLOOKUP(J$25&amp;$A42,回答!$Q$7:$S$256,2+MOD(COLUMN(),2),FALSE),"")</f>
        <v/>
      </c>
      <c r="K42" s="26" t="str">
        <f>_xlfn.IFNA(VLOOKUP(K$25&amp;$A42,回答!$Q$7:$S$256,2+MOD(COLUMN(),2),FALSE),"")</f>
        <v/>
      </c>
      <c r="L42" s="25" t="str">
        <f>_xlfn.IFNA(VLOOKUP(L$25&amp;$A42,回答!$Q$7:$S$256,2+MOD(COLUMN(),2),FALSE),"")</f>
        <v/>
      </c>
      <c r="M42" s="26" t="str">
        <f>_xlfn.IFNA(VLOOKUP(M$25&amp;$A42,回答!$Q$7:$S$256,2+MOD(COLUMN(),2),FALSE),"")</f>
        <v/>
      </c>
    </row>
    <row r="43" spans="1:13" hidden="1" x14ac:dyDescent="0.4">
      <c r="A43" s="22">
        <v>18</v>
      </c>
      <c r="B43" s="25" t="str">
        <f>_xlfn.IFNA(VLOOKUP(B$25&amp;$A43,回答!$Q$7:$S$256,2+MOD(COLUMN(),2),FALSE),"")</f>
        <v/>
      </c>
      <c r="C43" s="26" t="str">
        <f>_xlfn.IFNA(VLOOKUP(C$25&amp;$A43,回答!$Q$7:$S$256,2+MOD(COLUMN(),2),FALSE),"")</f>
        <v/>
      </c>
      <c r="D43" s="25" t="str">
        <f>_xlfn.IFNA(VLOOKUP(D$25&amp;$A43,回答!$Q$7:$S$256,2+MOD(COLUMN(),2),FALSE),"")</f>
        <v/>
      </c>
      <c r="E43" s="26" t="str">
        <f>_xlfn.IFNA(VLOOKUP(E$25&amp;$A43,回答!$Q$7:$S$256,2+MOD(COLUMN(),2),FALSE),"")</f>
        <v/>
      </c>
      <c r="F43" s="25" t="str">
        <f>_xlfn.IFNA(VLOOKUP(F$25&amp;$A43,回答!$Q$7:$S$256,2+MOD(COLUMN(),2),FALSE),"")</f>
        <v/>
      </c>
      <c r="G43" s="26" t="str">
        <f>_xlfn.IFNA(VLOOKUP(G$25&amp;$A43,回答!$Q$7:$S$256,2+MOD(COLUMN(),2),FALSE),"")</f>
        <v/>
      </c>
      <c r="H43" s="25" t="str">
        <f>_xlfn.IFNA(VLOOKUP(H$25&amp;$A43,回答!$Q$7:$S$256,2+MOD(COLUMN(),2),FALSE),"")</f>
        <v/>
      </c>
      <c r="I43" s="26" t="str">
        <f>_xlfn.IFNA(VLOOKUP(I$25&amp;$A43,回答!$Q$7:$S$256,2+MOD(COLUMN(),2),FALSE),"")</f>
        <v/>
      </c>
      <c r="J43" s="25" t="str">
        <f>_xlfn.IFNA(VLOOKUP(J$25&amp;$A43,回答!$Q$7:$S$256,2+MOD(COLUMN(),2),FALSE),"")</f>
        <v/>
      </c>
      <c r="K43" s="26" t="str">
        <f>_xlfn.IFNA(VLOOKUP(K$25&amp;$A43,回答!$Q$7:$S$256,2+MOD(COLUMN(),2),FALSE),"")</f>
        <v/>
      </c>
      <c r="L43" s="25" t="str">
        <f>_xlfn.IFNA(VLOOKUP(L$25&amp;$A43,回答!$Q$7:$S$256,2+MOD(COLUMN(),2),FALSE),"")</f>
        <v/>
      </c>
      <c r="M43" s="26" t="str">
        <f>_xlfn.IFNA(VLOOKUP(M$25&amp;$A43,回答!$Q$7:$S$256,2+MOD(COLUMN(),2),FALSE),"")</f>
        <v/>
      </c>
    </row>
    <row r="44" spans="1:13" hidden="1" x14ac:dyDescent="0.4">
      <c r="A44" s="22">
        <v>19</v>
      </c>
      <c r="B44" s="25" t="str">
        <f>_xlfn.IFNA(VLOOKUP(B$25&amp;$A44,回答!$Q$7:$S$256,2+MOD(COLUMN(),2),FALSE),"")</f>
        <v/>
      </c>
      <c r="C44" s="26" t="str">
        <f>_xlfn.IFNA(VLOOKUP(C$25&amp;$A44,回答!$Q$7:$S$256,2+MOD(COLUMN(),2),FALSE),"")</f>
        <v/>
      </c>
      <c r="D44" s="25" t="str">
        <f>_xlfn.IFNA(VLOOKUP(D$25&amp;$A44,回答!$Q$7:$S$256,2+MOD(COLUMN(),2),FALSE),"")</f>
        <v/>
      </c>
      <c r="E44" s="26" t="str">
        <f>_xlfn.IFNA(VLOOKUP(E$25&amp;$A44,回答!$Q$7:$S$256,2+MOD(COLUMN(),2),FALSE),"")</f>
        <v/>
      </c>
      <c r="F44" s="25" t="str">
        <f>_xlfn.IFNA(VLOOKUP(F$25&amp;$A44,回答!$Q$7:$S$256,2+MOD(COLUMN(),2),FALSE),"")</f>
        <v/>
      </c>
      <c r="G44" s="26" t="str">
        <f>_xlfn.IFNA(VLOOKUP(G$25&amp;$A44,回答!$Q$7:$S$256,2+MOD(COLUMN(),2),FALSE),"")</f>
        <v/>
      </c>
      <c r="H44" s="25" t="str">
        <f>_xlfn.IFNA(VLOOKUP(H$25&amp;$A44,回答!$Q$7:$S$256,2+MOD(COLUMN(),2),FALSE),"")</f>
        <v/>
      </c>
      <c r="I44" s="26" t="str">
        <f>_xlfn.IFNA(VLOOKUP(I$25&amp;$A44,回答!$Q$7:$S$256,2+MOD(COLUMN(),2),FALSE),"")</f>
        <v/>
      </c>
      <c r="J44" s="25" t="str">
        <f>_xlfn.IFNA(VLOOKUP(J$25&amp;$A44,回答!$Q$7:$S$256,2+MOD(COLUMN(),2),FALSE),"")</f>
        <v/>
      </c>
      <c r="K44" s="26" t="str">
        <f>_xlfn.IFNA(VLOOKUP(K$25&amp;$A44,回答!$Q$7:$S$256,2+MOD(COLUMN(),2),FALSE),"")</f>
        <v/>
      </c>
      <c r="L44" s="25" t="str">
        <f>_xlfn.IFNA(VLOOKUP(L$25&amp;$A44,回答!$Q$7:$S$256,2+MOD(COLUMN(),2),FALSE),"")</f>
        <v/>
      </c>
      <c r="M44" s="26" t="str">
        <f>_xlfn.IFNA(VLOOKUP(M$25&amp;$A44,回答!$Q$7:$S$256,2+MOD(COLUMN(),2),FALSE),"")</f>
        <v/>
      </c>
    </row>
    <row r="45" spans="1:13" hidden="1" x14ac:dyDescent="0.4">
      <c r="A45" s="22">
        <v>20</v>
      </c>
      <c r="B45" s="25" t="str">
        <f>_xlfn.IFNA(VLOOKUP(B$25&amp;$A45,回答!$Q$7:$S$256,2+MOD(COLUMN(),2),FALSE),"")</f>
        <v/>
      </c>
      <c r="C45" s="26" t="str">
        <f>_xlfn.IFNA(VLOOKUP(C$25&amp;$A45,回答!$Q$7:$S$256,2+MOD(COLUMN(),2),FALSE),"")</f>
        <v/>
      </c>
      <c r="D45" s="25" t="str">
        <f>_xlfn.IFNA(VLOOKUP(D$25&amp;$A45,回答!$Q$7:$S$256,2+MOD(COLUMN(),2),FALSE),"")</f>
        <v/>
      </c>
      <c r="E45" s="26" t="str">
        <f>_xlfn.IFNA(VLOOKUP(E$25&amp;$A45,回答!$Q$7:$S$256,2+MOD(COLUMN(),2),FALSE),"")</f>
        <v/>
      </c>
      <c r="F45" s="25" t="str">
        <f>_xlfn.IFNA(VLOOKUP(F$25&amp;$A45,回答!$Q$7:$S$256,2+MOD(COLUMN(),2),FALSE),"")</f>
        <v/>
      </c>
      <c r="G45" s="26" t="str">
        <f>_xlfn.IFNA(VLOOKUP(G$25&amp;$A45,回答!$Q$7:$S$256,2+MOD(COLUMN(),2),FALSE),"")</f>
        <v/>
      </c>
      <c r="H45" s="25" t="str">
        <f>_xlfn.IFNA(VLOOKUP(H$25&amp;$A45,回答!$Q$7:$S$256,2+MOD(COLUMN(),2),FALSE),"")</f>
        <v/>
      </c>
      <c r="I45" s="26" t="str">
        <f>_xlfn.IFNA(VLOOKUP(I$25&amp;$A45,回答!$Q$7:$S$256,2+MOD(COLUMN(),2),FALSE),"")</f>
        <v/>
      </c>
      <c r="J45" s="25" t="str">
        <f>_xlfn.IFNA(VLOOKUP(J$25&amp;$A45,回答!$Q$7:$S$256,2+MOD(COLUMN(),2),FALSE),"")</f>
        <v/>
      </c>
      <c r="K45" s="26" t="str">
        <f>_xlfn.IFNA(VLOOKUP(K$25&amp;$A45,回答!$Q$7:$S$256,2+MOD(COLUMN(),2),FALSE),"")</f>
        <v/>
      </c>
      <c r="L45" s="25" t="str">
        <f>_xlfn.IFNA(VLOOKUP(L$25&amp;$A45,回答!$Q$7:$S$256,2+MOD(COLUMN(),2),FALSE),"")</f>
        <v/>
      </c>
      <c r="M45" s="26" t="str">
        <f>_xlfn.IFNA(VLOOKUP(M$25&amp;$A45,回答!$Q$7:$S$256,2+MOD(COLUMN(),2),FALSE),"")</f>
        <v/>
      </c>
    </row>
  </sheetData>
  <phoneticPr fontId="2"/>
  <conditionalFormatting sqref="B2:M2">
    <cfRule type="cellIs" dxfId="10" priority="4" operator="equal">
      <formula>0</formula>
    </cfRule>
  </conditionalFormatting>
  <conditionalFormatting sqref="B25:M25">
    <cfRule type="cellIs" dxfId="9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D50A-F101-4063-97A9-E392DC383646}">
  <sheetPr codeName="Sheet2"/>
  <dimension ref="A1:L11"/>
  <sheetViews>
    <sheetView workbookViewId="0">
      <selection activeCell="E10" sqref="E10"/>
    </sheetView>
  </sheetViews>
  <sheetFormatPr defaultRowHeight="18.75" x14ac:dyDescent="0.4"/>
  <cols>
    <col min="1" max="1" width="11.625" customWidth="1"/>
    <col min="3" max="3" width="10.875" customWidth="1"/>
    <col min="7" max="7" width="10.25" customWidth="1"/>
  </cols>
  <sheetData>
    <row r="1" spans="1:12" x14ac:dyDescent="0.4">
      <c r="A1" s="4" t="s">
        <v>12</v>
      </c>
      <c r="G1" s="4" t="s">
        <v>31</v>
      </c>
    </row>
    <row r="2" spans="1:12" x14ac:dyDescent="0.4">
      <c r="A2" t="s">
        <v>17</v>
      </c>
      <c r="G2" t="s">
        <v>32</v>
      </c>
    </row>
    <row r="3" spans="1:12" x14ac:dyDescent="0.4">
      <c r="A3" t="s">
        <v>15</v>
      </c>
      <c r="G3" t="s">
        <v>35</v>
      </c>
    </row>
    <row r="4" spans="1:12" x14ac:dyDescent="0.4">
      <c r="A4" t="s">
        <v>16</v>
      </c>
      <c r="G4" t="s">
        <v>36</v>
      </c>
    </row>
    <row r="5" spans="1:12" x14ac:dyDescent="0.4">
      <c r="A5" t="s">
        <v>53</v>
      </c>
    </row>
    <row r="7" spans="1:12" x14ac:dyDescent="0.4">
      <c r="B7" t="s">
        <v>51</v>
      </c>
      <c r="C7" s="36">
        <f>SUM(研究室[M枠+A枠])</f>
        <v>6</v>
      </c>
      <c r="D7" s="37">
        <f>SUM(研究室[B枠])</f>
        <v>6</v>
      </c>
      <c r="E7" s="38"/>
    </row>
    <row r="8" spans="1:12" x14ac:dyDescent="0.4">
      <c r="A8" s="27" t="s">
        <v>13</v>
      </c>
      <c r="B8" s="27" t="s">
        <v>2</v>
      </c>
      <c r="C8" s="27" t="s">
        <v>14</v>
      </c>
      <c r="D8" s="27" t="s">
        <v>1</v>
      </c>
      <c r="E8" s="27" t="s">
        <v>52</v>
      </c>
      <c r="G8" s="27" t="s">
        <v>4</v>
      </c>
      <c r="H8" s="27" t="s">
        <v>33</v>
      </c>
      <c r="I8" s="27" t="s">
        <v>34</v>
      </c>
      <c r="J8" t="s">
        <v>60</v>
      </c>
      <c r="K8" t="s">
        <v>61</v>
      </c>
      <c r="L8" t="s">
        <v>62</v>
      </c>
    </row>
    <row r="9" spans="1:12" x14ac:dyDescent="0.4">
      <c r="A9" t="s">
        <v>55</v>
      </c>
      <c r="C9">
        <v>2</v>
      </c>
      <c r="D9">
        <v>2</v>
      </c>
      <c r="E9">
        <v>1</v>
      </c>
      <c r="G9" t="s">
        <v>66</v>
      </c>
      <c r="H9" t="s">
        <v>64</v>
      </c>
      <c r="I9">
        <v>3</v>
      </c>
      <c r="J9">
        <v>1</v>
      </c>
    </row>
    <row r="10" spans="1:12" x14ac:dyDescent="0.4">
      <c r="A10" t="s">
        <v>57</v>
      </c>
      <c r="C10">
        <v>2</v>
      </c>
      <c r="D10">
        <v>2</v>
      </c>
      <c r="G10" t="s">
        <v>68</v>
      </c>
      <c r="H10" t="s">
        <v>69</v>
      </c>
      <c r="I10">
        <v>2</v>
      </c>
      <c r="J10">
        <v>3</v>
      </c>
    </row>
    <row r="11" spans="1:12" x14ac:dyDescent="0.4">
      <c r="A11" t="s">
        <v>59</v>
      </c>
      <c r="C11">
        <v>2</v>
      </c>
      <c r="D11">
        <v>2</v>
      </c>
      <c r="G11" t="s">
        <v>71</v>
      </c>
      <c r="H11" t="s">
        <v>72</v>
      </c>
      <c r="I11">
        <v>1.5</v>
      </c>
      <c r="J11">
        <v>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502DE-F208-4730-8D24-021E6420A5F3}">
  <sheetPr codeName="Sheet3"/>
  <dimension ref="A1:S256"/>
  <sheetViews>
    <sheetView tabSelected="1" workbookViewId="0">
      <selection activeCell="D10" sqref="D10"/>
    </sheetView>
  </sheetViews>
  <sheetFormatPr defaultRowHeight="18.75" x14ac:dyDescent="0.4"/>
  <cols>
    <col min="1" max="1" width="11" bestFit="1" customWidth="1"/>
    <col min="2" max="5" width="11" customWidth="1"/>
    <col min="6" max="6" width="9.625" bestFit="1" customWidth="1"/>
    <col min="7" max="8" width="9.625" customWidth="1"/>
    <col min="9" max="9" width="6.625" customWidth="1"/>
    <col min="18" max="18" width="9.375" bestFit="1" customWidth="1"/>
  </cols>
  <sheetData>
    <row r="1" spans="1:19" x14ac:dyDescent="0.4">
      <c r="A1" s="4" t="s">
        <v>30</v>
      </c>
      <c r="B1" s="4"/>
      <c r="J1" s="4" t="s">
        <v>29</v>
      </c>
      <c r="K1" s="4"/>
    </row>
    <row r="2" spans="1:19" x14ac:dyDescent="0.4">
      <c r="A2" t="s">
        <v>18</v>
      </c>
      <c r="J2" t="s">
        <v>20</v>
      </c>
    </row>
    <row r="3" spans="1:19" x14ac:dyDescent="0.4">
      <c r="A3" t="s">
        <v>26</v>
      </c>
    </row>
    <row r="4" spans="1:19" x14ac:dyDescent="0.4">
      <c r="A4" t="s">
        <v>11</v>
      </c>
    </row>
    <row r="6" spans="1:19" x14ac:dyDescent="0.4">
      <c r="A6" s="3" t="s">
        <v>4</v>
      </c>
      <c r="B6" s="3" t="s">
        <v>19</v>
      </c>
      <c r="C6" s="3" t="s">
        <v>6</v>
      </c>
      <c r="D6" s="5" t="s">
        <v>5</v>
      </c>
      <c r="E6" s="5" t="s">
        <v>10</v>
      </c>
      <c r="F6" s="6" t="s">
        <v>7</v>
      </c>
      <c r="G6" s="6" t="s">
        <v>8</v>
      </c>
      <c r="H6" s="6" t="s">
        <v>9</v>
      </c>
      <c r="J6" s="20" t="s">
        <v>21</v>
      </c>
      <c r="K6" s="20" t="s">
        <v>27</v>
      </c>
      <c r="L6" s="20" t="s">
        <v>22</v>
      </c>
      <c r="M6" s="20" t="s">
        <v>23</v>
      </c>
      <c r="N6" s="20" t="s">
        <v>24</v>
      </c>
      <c r="O6" s="20" t="s">
        <v>28</v>
      </c>
      <c r="P6" s="20" t="s">
        <v>22</v>
      </c>
      <c r="Q6" s="20" t="s">
        <v>23</v>
      </c>
      <c r="R6" s="20" t="s">
        <v>25</v>
      </c>
      <c r="S6" s="20" t="s">
        <v>19</v>
      </c>
    </row>
    <row r="7" spans="1:19" x14ac:dyDescent="0.4">
      <c r="A7" t="s">
        <v>65</v>
      </c>
      <c r="B7" t="s">
        <v>64</v>
      </c>
      <c r="C7" t="s">
        <v>73</v>
      </c>
      <c r="D7" t="str">
        <f>IF(登録一覧[学籍番号]="", "", IF(LEN(登録一覧[学籍番号])=6, LOWER(登録一覧[学籍番号] &amp; REPT(MID(登録一覧[学籍番号], 1, 1),2)), 登録一覧[学籍番号]) &amp; "@aitech.ac.jp")</f>
        <v>v99901vv@aitech.ac.jp</v>
      </c>
      <c r="F7" t="s">
        <v>60</v>
      </c>
      <c r="G7" t="s">
        <v>75</v>
      </c>
      <c r="H7" t="s">
        <v>78</v>
      </c>
      <c r="J7" t="str">
        <f>IFERROR(IF(登録一覧[[#This Row],[希望]]="","-",登録一覧[[#This Row],[希望]]&amp;登録一覧[[#This Row],[学生枠]]),"-")</f>
        <v>A研A</v>
      </c>
      <c r="K7">
        <f>IFERROR(ROW()+IF(登録一覧[[#This Row],[修士]]&lt;&gt;"", 0, IF(登録一覧[[#This Row],[非表示]]&lt;&gt;"",1000,10000)),"-")</f>
        <v>7</v>
      </c>
      <c r="L7">
        <f>COUNTIFS($J$7:$J$256,J7,$K$7:$K$256,"&lt;="&amp;K7)</f>
        <v>1</v>
      </c>
      <c r="M7" t="str">
        <f>J7&amp;L7</f>
        <v>A研A1</v>
      </c>
      <c r="N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!V99901</v>
      </c>
      <c r="O7" t="str">
        <f>IFERROR(IF(登録一覧[[#This Row],[決定]]="yes", 登録一覧[[#This Row],[希望]], "*"), "*")</f>
        <v>*</v>
      </c>
      <c r="P7">
        <f>COUNTIF($O$7:$O7,O7)</f>
        <v>1</v>
      </c>
      <c r="Q7" t="str">
        <f>O7&amp;P7</f>
        <v>*1</v>
      </c>
      <c r="R7" t="str">
        <f>IFERROR(登録一覧[[#This Row],[学籍番号]],"-")</f>
        <v>V99901</v>
      </c>
      <c r="S7" t="str">
        <f>IFERROR(登録一覧[[#This Row],[氏名]],"-")</f>
        <v>電気　太郎</v>
      </c>
    </row>
    <row r="8" spans="1:19" x14ac:dyDescent="0.4">
      <c r="A8" t="s">
        <v>67</v>
      </c>
      <c r="B8" t="s">
        <v>69</v>
      </c>
      <c r="C8" t="s">
        <v>73</v>
      </c>
      <c r="D8" t="str">
        <f>IF(登録一覧[学籍番号]="", "", IF(LEN(登録一覧[学籍番号])=6, LOWER(登録一覧[学籍番号] &amp; REPT(MID(登録一覧[学籍番号], 1, 1),2)), 登録一覧[学籍番号]) &amp; "@aitech.ac.jp")</f>
        <v>v99902vv@aitech.ac.jp</v>
      </c>
      <c r="F8" t="s">
        <v>61</v>
      </c>
      <c r="J8" t="str">
        <f>IFERROR(IF(登録一覧[[#This Row],[希望]]="","-",登録一覧[[#This Row],[希望]]&amp;登録一覧[[#This Row],[学生枠]]),"-")</f>
        <v>B研A</v>
      </c>
      <c r="K8">
        <f>IFERROR(ROW()+IF(登録一覧[[#This Row],[修士]]&lt;&gt;"", 0, IF(登録一覧[[#This Row],[非表示]]&lt;&gt;"",1000,10000)),"-")</f>
        <v>10008</v>
      </c>
      <c r="L8">
        <f t="shared" ref="L8:L71" si="0">COUNTIFS($J$7:$J$256,J8,$K$7:$K$256,"&lt;="&amp;K8)</f>
        <v>1</v>
      </c>
      <c r="M8" t="str">
        <f t="shared" ref="M8:M18" si="1">J8&amp;L8</f>
        <v>B研A1</v>
      </c>
      <c r="N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V99902</v>
      </c>
      <c r="O8" t="str">
        <f>IFERROR(IF(登録一覧[[#This Row],[決定]]="yes", 登録一覧[[#This Row],[希望]], "*"), "*")</f>
        <v>*</v>
      </c>
      <c r="P8">
        <f>COUNTIF($O$7:$O8,O8)</f>
        <v>2</v>
      </c>
      <c r="Q8" t="str">
        <f t="shared" ref="Q8:Q71" si="2">O8&amp;P8</f>
        <v>*2</v>
      </c>
      <c r="R8" t="str">
        <f>IFERROR(登録一覧[[#This Row],[学籍番号]],"-")</f>
        <v>V99902</v>
      </c>
      <c r="S8" t="str">
        <f>IFERROR(登録一覧[[#This Row],[氏名]],"-")</f>
        <v>電子　三郎</v>
      </c>
    </row>
    <row r="9" spans="1:19" x14ac:dyDescent="0.4">
      <c r="A9" t="s">
        <v>70</v>
      </c>
      <c r="B9" t="s">
        <v>72</v>
      </c>
      <c r="C9" t="s">
        <v>74</v>
      </c>
      <c r="D9" t="str">
        <f>IF(登録一覧[学籍番号]="", "", IF(LEN(登録一覧[学籍番号])=6, LOWER(登録一覧[学籍番号] &amp; REPT(MID(登録一覧[学籍番号], 1, 1),2)), 登録一覧[学籍番号]) &amp; "@aitech.ac.jp")</f>
        <v>v99903vv@aitech.ac.jp</v>
      </c>
      <c r="F9" t="s">
        <v>62</v>
      </c>
      <c r="H9" t="s">
        <v>79</v>
      </c>
      <c r="J9" t="str">
        <f>IFERROR(IF(登録一覧[[#This Row],[希望]]="","-",登録一覧[[#This Row],[希望]]&amp;登録一覧[[#This Row],[学生枠]]),"-")</f>
        <v>C研B</v>
      </c>
      <c r="K9">
        <f>IFERROR(ROW()+IF(登録一覧[[#This Row],[修士]]&lt;&gt;"", 0, IF(登録一覧[[#This Row],[非表示]]&lt;&gt;"",1000,10000)),"-")</f>
        <v>1009</v>
      </c>
      <c r="L9">
        <f t="shared" si="0"/>
        <v>1</v>
      </c>
      <c r="M9" t="str">
        <f t="shared" si="1"/>
        <v>C研B1</v>
      </c>
      <c r="N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******</v>
      </c>
      <c r="O9" t="str">
        <f>IFERROR(IF(登録一覧[[#This Row],[決定]]="yes", 登録一覧[[#This Row],[希望]], "*"), "*")</f>
        <v>*</v>
      </c>
      <c r="P9">
        <f>COUNTIF($O$7:$O9,O9)</f>
        <v>3</v>
      </c>
      <c r="Q9" t="str">
        <f t="shared" si="2"/>
        <v>*3</v>
      </c>
      <c r="R9" t="str">
        <f>IFERROR(登録一覧[[#This Row],[学籍番号]],"-")</f>
        <v>V99903</v>
      </c>
      <c r="S9" t="str">
        <f>IFERROR(登録一覧[[#This Row],[氏名]],"-")</f>
        <v>情報　五郎</v>
      </c>
    </row>
    <row r="10" spans="1:19" x14ac:dyDescent="0.4">
      <c r="J10" t="str">
        <f>IFERROR(IF(登録一覧[[#This Row],[希望]]="","-",登録一覧[[#This Row],[希望]]&amp;登録一覧[[#This Row],[学生枠]]),"-")</f>
        <v>-</v>
      </c>
      <c r="K10" t="str">
        <f>IFERROR(ROW()+IF(登録一覧[[#This Row],[修士]]&lt;&gt;"", 0, IF(登録一覧[[#This Row],[非表示]]&lt;&gt;"",1000,10000)),"-")</f>
        <v>-</v>
      </c>
      <c r="L10">
        <f t="shared" si="0"/>
        <v>247</v>
      </c>
      <c r="M10" t="str">
        <f t="shared" si="1"/>
        <v>-247</v>
      </c>
      <c r="N1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" t="str">
        <f>IFERROR(IF(登録一覧[[#This Row],[決定]]="yes", 登録一覧[[#This Row],[希望]], "*"), "*")</f>
        <v>*</v>
      </c>
      <c r="P10">
        <f>COUNTIF($O$7:$O10,O10)</f>
        <v>4</v>
      </c>
      <c r="Q10" t="str">
        <f t="shared" si="2"/>
        <v>*4</v>
      </c>
      <c r="R10" t="str">
        <f>IFERROR(登録一覧[[#This Row],[学籍番号]],"-")</f>
        <v>-</v>
      </c>
      <c r="S10" t="str">
        <f>IFERROR(登録一覧[[#This Row],[氏名]],"-")</f>
        <v>-</v>
      </c>
    </row>
    <row r="11" spans="1:19" x14ac:dyDescent="0.4">
      <c r="J11" t="str">
        <f>IFERROR(IF(登録一覧[[#This Row],[希望]]="","-",登録一覧[[#This Row],[希望]]&amp;登録一覧[[#This Row],[学生枠]]),"-")</f>
        <v>-</v>
      </c>
      <c r="K11" t="str">
        <f>IFERROR(ROW()+IF(登録一覧[[#This Row],[修士]]&lt;&gt;"", 0, IF(登録一覧[[#This Row],[非表示]]&lt;&gt;"",1000,10000)),"-")</f>
        <v>-</v>
      </c>
      <c r="L11">
        <f t="shared" si="0"/>
        <v>247</v>
      </c>
      <c r="M11" t="str">
        <f t="shared" si="1"/>
        <v>-247</v>
      </c>
      <c r="N1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" t="str">
        <f>IFERROR(IF(登録一覧[[#This Row],[決定]]="yes", 登録一覧[[#This Row],[希望]], "*"), "*")</f>
        <v>*</v>
      </c>
      <c r="P11">
        <f>COUNTIF($O$7:$O11,O11)</f>
        <v>5</v>
      </c>
      <c r="Q11" t="str">
        <f t="shared" si="2"/>
        <v>*5</v>
      </c>
      <c r="R11" t="str">
        <f>IFERROR(登録一覧[[#This Row],[学籍番号]],"-")</f>
        <v>-</v>
      </c>
      <c r="S11" t="str">
        <f>IFERROR(登録一覧[[#This Row],[氏名]],"-")</f>
        <v>-</v>
      </c>
    </row>
    <row r="12" spans="1:19" x14ac:dyDescent="0.4">
      <c r="J12" t="str">
        <f>IFERROR(IF(登録一覧[[#This Row],[希望]]="","-",登録一覧[[#This Row],[希望]]&amp;登録一覧[[#This Row],[学生枠]]),"-")</f>
        <v>-</v>
      </c>
      <c r="K12" t="str">
        <f>IFERROR(ROW()+IF(登録一覧[[#This Row],[修士]]&lt;&gt;"", 0, IF(登録一覧[[#This Row],[非表示]]&lt;&gt;"",1000,10000)),"-")</f>
        <v>-</v>
      </c>
      <c r="L12">
        <f t="shared" si="0"/>
        <v>247</v>
      </c>
      <c r="M12" t="str">
        <f t="shared" si="1"/>
        <v>-247</v>
      </c>
      <c r="N1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" t="str">
        <f>IFERROR(IF(登録一覧[[#This Row],[決定]]="yes", 登録一覧[[#This Row],[希望]], "*"), "*")</f>
        <v>*</v>
      </c>
      <c r="P12">
        <f>COUNTIF($O$7:$O12,O12)</f>
        <v>6</v>
      </c>
      <c r="Q12" t="str">
        <f t="shared" si="2"/>
        <v>*6</v>
      </c>
      <c r="R12" t="str">
        <f>IFERROR(登録一覧[[#This Row],[学籍番号]],"-")</f>
        <v>-</v>
      </c>
      <c r="S12" t="str">
        <f>IFERROR(登録一覧[[#This Row],[氏名]],"-")</f>
        <v>-</v>
      </c>
    </row>
    <row r="13" spans="1:19" x14ac:dyDescent="0.4">
      <c r="J13" t="str">
        <f>IFERROR(IF(登録一覧[[#This Row],[希望]]="","-",登録一覧[[#This Row],[希望]]&amp;登録一覧[[#This Row],[学生枠]]),"-")</f>
        <v>-</v>
      </c>
      <c r="K13" t="str">
        <f>IFERROR(ROW()+IF(登録一覧[[#This Row],[修士]]&lt;&gt;"", 0, IF(登録一覧[[#This Row],[非表示]]&lt;&gt;"",1000,10000)),"-")</f>
        <v>-</v>
      </c>
      <c r="L13">
        <f t="shared" si="0"/>
        <v>247</v>
      </c>
      <c r="M13" t="str">
        <f t="shared" si="1"/>
        <v>-247</v>
      </c>
      <c r="N1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" t="str">
        <f>IFERROR(IF(登録一覧[[#This Row],[決定]]="yes", 登録一覧[[#This Row],[希望]], "*"), "*")</f>
        <v>*</v>
      </c>
      <c r="P13">
        <f>COUNTIF($O$7:$O13,O13)</f>
        <v>7</v>
      </c>
      <c r="Q13" t="str">
        <f t="shared" si="2"/>
        <v>*7</v>
      </c>
      <c r="R13" t="str">
        <f>IFERROR(登録一覧[[#This Row],[学籍番号]],"-")</f>
        <v>-</v>
      </c>
      <c r="S13" t="str">
        <f>IFERROR(登録一覧[[#This Row],[氏名]],"-")</f>
        <v>-</v>
      </c>
    </row>
    <row r="14" spans="1:19" x14ac:dyDescent="0.4">
      <c r="J14" t="str">
        <f>IFERROR(IF(登録一覧[[#This Row],[希望]]="","-",登録一覧[[#This Row],[希望]]&amp;登録一覧[[#This Row],[学生枠]]),"-")</f>
        <v>-</v>
      </c>
      <c r="K14" t="str">
        <f>IFERROR(ROW()+IF(登録一覧[[#This Row],[修士]]&lt;&gt;"", 0, IF(登録一覧[[#This Row],[非表示]]&lt;&gt;"",1000,10000)),"-")</f>
        <v>-</v>
      </c>
      <c r="L14">
        <f t="shared" si="0"/>
        <v>247</v>
      </c>
      <c r="M14" t="str">
        <f t="shared" si="1"/>
        <v>-247</v>
      </c>
      <c r="N1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" t="str">
        <f>IFERROR(IF(登録一覧[[#This Row],[決定]]="yes", 登録一覧[[#This Row],[希望]], "*"), "*")</f>
        <v>*</v>
      </c>
      <c r="P14">
        <f>COUNTIF($O$7:$O14,O14)</f>
        <v>8</v>
      </c>
      <c r="Q14" t="str">
        <f t="shared" si="2"/>
        <v>*8</v>
      </c>
      <c r="R14" t="str">
        <f>IFERROR(登録一覧[[#This Row],[学籍番号]],"-")</f>
        <v>-</v>
      </c>
      <c r="S14" t="str">
        <f>IFERROR(登録一覧[[#This Row],[氏名]],"-")</f>
        <v>-</v>
      </c>
    </row>
    <row r="15" spans="1:19" x14ac:dyDescent="0.4">
      <c r="J15" t="str">
        <f>IFERROR(IF(登録一覧[[#This Row],[希望]]="","-",登録一覧[[#This Row],[希望]]&amp;登録一覧[[#This Row],[学生枠]]),"-")</f>
        <v>-</v>
      </c>
      <c r="K15" t="str">
        <f>IFERROR(ROW()+IF(登録一覧[[#This Row],[修士]]&lt;&gt;"", 0, IF(登録一覧[[#This Row],[非表示]]&lt;&gt;"",1000,10000)),"-")</f>
        <v>-</v>
      </c>
      <c r="L15">
        <f t="shared" si="0"/>
        <v>247</v>
      </c>
      <c r="M15" t="str">
        <f t="shared" si="1"/>
        <v>-247</v>
      </c>
      <c r="N1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" t="str">
        <f>IFERROR(IF(登録一覧[[#This Row],[決定]]="yes", 登録一覧[[#This Row],[希望]], "*"), "*")</f>
        <v>*</v>
      </c>
      <c r="P15">
        <f>COUNTIF($O$7:$O15,O15)</f>
        <v>9</v>
      </c>
      <c r="Q15" t="str">
        <f t="shared" si="2"/>
        <v>*9</v>
      </c>
      <c r="R15" t="str">
        <f>IFERROR(登録一覧[[#This Row],[学籍番号]],"-")</f>
        <v>-</v>
      </c>
      <c r="S15" t="str">
        <f>IFERROR(登録一覧[[#This Row],[氏名]],"-")</f>
        <v>-</v>
      </c>
    </row>
    <row r="16" spans="1:19" x14ac:dyDescent="0.4">
      <c r="J16" t="str">
        <f>IFERROR(IF(登録一覧[[#This Row],[希望]]="","-",登録一覧[[#This Row],[希望]]&amp;登録一覧[[#This Row],[学生枠]]),"-")</f>
        <v>-</v>
      </c>
      <c r="K16" t="str">
        <f>IFERROR(ROW()+IF(登録一覧[[#This Row],[修士]]&lt;&gt;"", 0, IF(登録一覧[[#This Row],[非表示]]&lt;&gt;"",1000,10000)),"-")</f>
        <v>-</v>
      </c>
      <c r="L16">
        <f t="shared" si="0"/>
        <v>247</v>
      </c>
      <c r="M16" t="str">
        <f t="shared" si="1"/>
        <v>-247</v>
      </c>
      <c r="N1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" t="str">
        <f>IFERROR(IF(登録一覧[[#This Row],[決定]]="yes", 登録一覧[[#This Row],[希望]], "*"), "*")</f>
        <v>*</v>
      </c>
      <c r="P16">
        <f>COUNTIF($O$7:$O16,O16)</f>
        <v>10</v>
      </c>
      <c r="Q16" t="str">
        <f t="shared" si="2"/>
        <v>*10</v>
      </c>
      <c r="R16" t="str">
        <f>IFERROR(登録一覧[[#This Row],[学籍番号]],"-")</f>
        <v>-</v>
      </c>
      <c r="S16" t="str">
        <f>IFERROR(登録一覧[[#This Row],[氏名]],"-")</f>
        <v>-</v>
      </c>
    </row>
    <row r="17" spans="10:19" x14ac:dyDescent="0.4">
      <c r="J17" t="str">
        <f>IFERROR(IF(登録一覧[[#This Row],[希望]]="","-",登録一覧[[#This Row],[希望]]&amp;登録一覧[[#This Row],[学生枠]]),"-")</f>
        <v>-</v>
      </c>
      <c r="K17" t="str">
        <f>IFERROR(ROW()+IF(登録一覧[[#This Row],[修士]]&lt;&gt;"", 0, IF(登録一覧[[#This Row],[非表示]]&lt;&gt;"",1000,10000)),"-")</f>
        <v>-</v>
      </c>
      <c r="L17">
        <f t="shared" si="0"/>
        <v>247</v>
      </c>
      <c r="M17" t="str">
        <f t="shared" si="1"/>
        <v>-247</v>
      </c>
      <c r="N1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" t="str">
        <f>IFERROR(IF(登録一覧[[#This Row],[決定]]="yes", 登録一覧[[#This Row],[希望]], "*"), "*")</f>
        <v>*</v>
      </c>
      <c r="P17">
        <f>COUNTIF($O$7:$O17,O17)</f>
        <v>11</v>
      </c>
      <c r="Q17" t="str">
        <f t="shared" si="2"/>
        <v>*11</v>
      </c>
      <c r="R17" t="str">
        <f>IFERROR(登録一覧[[#This Row],[学籍番号]],"-")</f>
        <v>-</v>
      </c>
      <c r="S17" t="str">
        <f>IFERROR(登録一覧[[#This Row],[氏名]],"-")</f>
        <v>-</v>
      </c>
    </row>
    <row r="18" spans="10:19" x14ac:dyDescent="0.4">
      <c r="J18" t="str">
        <f>IFERROR(IF(登録一覧[[#This Row],[希望]]="","-",登録一覧[[#This Row],[希望]]&amp;登録一覧[[#This Row],[学生枠]]),"-")</f>
        <v>-</v>
      </c>
      <c r="K18" t="str">
        <f>IFERROR(ROW()+IF(登録一覧[[#This Row],[修士]]&lt;&gt;"", 0, IF(登録一覧[[#This Row],[非表示]]&lt;&gt;"",1000,10000)),"-")</f>
        <v>-</v>
      </c>
      <c r="L18">
        <f t="shared" si="0"/>
        <v>247</v>
      </c>
      <c r="M18" t="str">
        <f t="shared" si="1"/>
        <v>-247</v>
      </c>
      <c r="N1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" t="str">
        <f>IFERROR(IF(登録一覧[[#This Row],[決定]]="yes", 登録一覧[[#This Row],[希望]], "*"), "*")</f>
        <v>*</v>
      </c>
      <c r="P18">
        <f>COUNTIF($O$7:$O18,O18)</f>
        <v>12</v>
      </c>
      <c r="Q18" t="str">
        <f t="shared" si="2"/>
        <v>*12</v>
      </c>
      <c r="R18" t="str">
        <f>IFERROR(登録一覧[[#This Row],[学籍番号]],"-")</f>
        <v>-</v>
      </c>
      <c r="S18" t="str">
        <f>IFERROR(登録一覧[[#This Row],[氏名]],"-")</f>
        <v>-</v>
      </c>
    </row>
    <row r="19" spans="10:19" x14ac:dyDescent="0.4">
      <c r="J19" t="str">
        <f>IFERROR(IF(登録一覧[[#This Row],[希望]]="","-",登録一覧[[#This Row],[希望]]&amp;登録一覧[[#This Row],[学生枠]]),"-")</f>
        <v>-</v>
      </c>
      <c r="K19" t="str">
        <f>IFERROR(ROW()+IF(登録一覧[[#This Row],[修士]]&lt;&gt;"", 0, IF(登録一覧[[#This Row],[非表示]]&lt;&gt;"",1000,10000)),"-")</f>
        <v>-</v>
      </c>
      <c r="L19">
        <f t="shared" si="0"/>
        <v>247</v>
      </c>
      <c r="M19" t="str">
        <f t="shared" ref="M19:M29" si="3">J19&amp;L19</f>
        <v>-247</v>
      </c>
      <c r="N1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" t="str">
        <f>IFERROR(IF(登録一覧[[#This Row],[決定]]="yes", 登録一覧[[#This Row],[希望]], "*"), "*")</f>
        <v>*</v>
      </c>
      <c r="P19">
        <f>COUNTIF($O$7:$O19,O19)</f>
        <v>13</v>
      </c>
      <c r="Q19" t="str">
        <f t="shared" si="2"/>
        <v>*13</v>
      </c>
      <c r="R19" t="str">
        <f>IFERROR(登録一覧[[#This Row],[学籍番号]],"-")</f>
        <v>-</v>
      </c>
      <c r="S19" t="str">
        <f>IFERROR(登録一覧[[#This Row],[氏名]],"-")</f>
        <v>-</v>
      </c>
    </row>
    <row r="20" spans="10:19" x14ac:dyDescent="0.4">
      <c r="J20" t="str">
        <f>IFERROR(IF(登録一覧[[#This Row],[希望]]="","-",登録一覧[[#This Row],[希望]]&amp;登録一覧[[#This Row],[学生枠]]),"-")</f>
        <v>-</v>
      </c>
      <c r="K20" t="str">
        <f>IFERROR(ROW()+IF(登録一覧[[#This Row],[修士]]&lt;&gt;"", 0, IF(登録一覧[[#This Row],[非表示]]&lt;&gt;"",1000,10000)),"-")</f>
        <v>-</v>
      </c>
      <c r="L20">
        <f t="shared" si="0"/>
        <v>247</v>
      </c>
      <c r="M20" t="str">
        <f t="shared" si="3"/>
        <v>-247</v>
      </c>
      <c r="N2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" t="str">
        <f>IFERROR(IF(登録一覧[[#This Row],[決定]]="yes", 登録一覧[[#This Row],[希望]], "*"), "*")</f>
        <v>*</v>
      </c>
      <c r="P20">
        <f>COUNTIF($O$7:$O20,O20)</f>
        <v>14</v>
      </c>
      <c r="Q20" t="str">
        <f t="shared" si="2"/>
        <v>*14</v>
      </c>
      <c r="R20" t="str">
        <f>IFERROR(登録一覧[[#This Row],[学籍番号]],"-")</f>
        <v>-</v>
      </c>
      <c r="S20" t="str">
        <f>IFERROR(登録一覧[[#This Row],[氏名]],"-")</f>
        <v>-</v>
      </c>
    </row>
    <row r="21" spans="10:19" x14ac:dyDescent="0.4">
      <c r="J21" t="str">
        <f>IFERROR(IF(登録一覧[[#This Row],[希望]]="","-",登録一覧[[#This Row],[希望]]&amp;登録一覧[[#This Row],[学生枠]]),"-")</f>
        <v>-</v>
      </c>
      <c r="K21" t="str">
        <f>IFERROR(ROW()+IF(登録一覧[[#This Row],[修士]]&lt;&gt;"", 0, IF(登録一覧[[#This Row],[非表示]]&lt;&gt;"",1000,10000)),"-")</f>
        <v>-</v>
      </c>
      <c r="L21">
        <f t="shared" si="0"/>
        <v>247</v>
      </c>
      <c r="M21" t="str">
        <f t="shared" si="3"/>
        <v>-247</v>
      </c>
      <c r="N2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" t="str">
        <f>IFERROR(IF(登録一覧[[#This Row],[決定]]="yes", 登録一覧[[#This Row],[希望]], "*"), "*")</f>
        <v>*</v>
      </c>
      <c r="P21">
        <f>COUNTIF($O$7:$O21,O21)</f>
        <v>15</v>
      </c>
      <c r="Q21" t="str">
        <f t="shared" si="2"/>
        <v>*15</v>
      </c>
      <c r="R21" t="str">
        <f>IFERROR(登録一覧[[#This Row],[学籍番号]],"-")</f>
        <v>-</v>
      </c>
      <c r="S21" t="str">
        <f>IFERROR(登録一覧[[#This Row],[氏名]],"-")</f>
        <v>-</v>
      </c>
    </row>
    <row r="22" spans="10:19" x14ac:dyDescent="0.4">
      <c r="J22" t="str">
        <f>IFERROR(IF(登録一覧[[#This Row],[希望]]="","-",登録一覧[[#This Row],[希望]]&amp;登録一覧[[#This Row],[学生枠]]),"-")</f>
        <v>-</v>
      </c>
      <c r="K22" t="str">
        <f>IFERROR(ROW()+IF(登録一覧[[#This Row],[修士]]&lt;&gt;"", 0, IF(登録一覧[[#This Row],[非表示]]&lt;&gt;"",1000,10000)),"-")</f>
        <v>-</v>
      </c>
      <c r="L22">
        <f t="shared" si="0"/>
        <v>247</v>
      </c>
      <c r="M22" t="str">
        <f t="shared" si="3"/>
        <v>-247</v>
      </c>
      <c r="N2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" t="str">
        <f>IFERROR(IF(登録一覧[[#This Row],[決定]]="yes", 登録一覧[[#This Row],[希望]], "*"), "*")</f>
        <v>*</v>
      </c>
      <c r="P22">
        <f>COUNTIF($O$7:$O22,O22)</f>
        <v>16</v>
      </c>
      <c r="Q22" t="str">
        <f t="shared" si="2"/>
        <v>*16</v>
      </c>
      <c r="R22" t="str">
        <f>IFERROR(登録一覧[[#This Row],[学籍番号]],"-")</f>
        <v>-</v>
      </c>
      <c r="S22" t="str">
        <f>IFERROR(登録一覧[[#This Row],[氏名]],"-")</f>
        <v>-</v>
      </c>
    </row>
    <row r="23" spans="10:19" x14ac:dyDescent="0.4">
      <c r="J23" t="str">
        <f>IFERROR(IF(登録一覧[[#This Row],[希望]]="","-",登録一覧[[#This Row],[希望]]&amp;登録一覧[[#This Row],[学生枠]]),"-")</f>
        <v>-</v>
      </c>
      <c r="K23" t="str">
        <f>IFERROR(ROW()+IF(登録一覧[[#This Row],[修士]]&lt;&gt;"", 0, IF(登録一覧[[#This Row],[非表示]]&lt;&gt;"",1000,10000)),"-")</f>
        <v>-</v>
      </c>
      <c r="L23">
        <f t="shared" si="0"/>
        <v>247</v>
      </c>
      <c r="M23" t="str">
        <f t="shared" si="3"/>
        <v>-247</v>
      </c>
      <c r="N2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" t="str">
        <f>IFERROR(IF(登録一覧[[#This Row],[決定]]="yes", 登録一覧[[#This Row],[希望]], "*"), "*")</f>
        <v>*</v>
      </c>
      <c r="P23">
        <f>COUNTIF($O$7:$O23,O23)</f>
        <v>17</v>
      </c>
      <c r="Q23" t="str">
        <f t="shared" si="2"/>
        <v>*17</v>
      </c>
      <c r="R23" t="str">
        <f>IFERROR(登録一覧[[#This Row],[学籍番号]],"-")</f>
        <v>-</v>
      </c>
      <c r="S23" t="str">
        <f>IFERROR(登録一覧[[#This Row],[氏名]],"-")</f>
        <v>-</v>
      </c>
    </row>
    <row r="24" spans="10:19" x14ac:dyDescent="0.4">
      <c r="J24" t="str">
        <f>IFERROR(IF(登録一覧[[#This Row],[希望]]="","-",登録一覧[[#This Row],[希望]]&amp;登録一覧[[#This Row],[学生枠]]),"-")</f>
        <v>-</v>
      </c>
      <c r="K24" t="str">
        <f>IFERROR(ROW()+IF(登録一覧[[#This Row],[修士]]&lt;&gt;"", 0, IF(登録一覧[[#This Row],[非表示]]&lt;&gt;"",1000,10000)),"-")</f>
        <v>-</v>
      </c>
      <c r="L24">
        <f t="shared" si="0"/>
        <v>247</v>
      </c>
      <c r="M24" t="str">
        <f t="shared" si="3"/>
        <v>-247</v>
      </c>
      <c r="N2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" t="str">
        <f>IFERROR(IF(登録一覧[[#This Row],[決定]]="yes", 登録一覧[[#This Row],[希望]], "*"), "*")</f>
        <v>*</v>
      </c>
      <c r="P24">
        <f>COUNTIF($O$7:$O24,O24)</f>
        <v>18</v>
      </c>
      <c r="Q24" t="str">
        <f t="shared" si="2"/>
        <v>*18</v>
      </c>
      <c r="R24" t="str">
        <f>IFERROR(登録一覧[[#This Row],[学籍番号]],"-")</f>
        <v>-</v>
      </c>
      <c r="S24" t="str">
        <f>IFERROR(登録一覧[[#This Row],[氏名]],"-")</f>
        <v>-</v>
      </c>
    </row>
    <row r="25" spans="10:19" x14ac:dyDescent="0.4">
      <c r="J25" t="str">
        <f>IFERROR(IF(登録一覧[[#This Row],[希望]]="","-",登録一覧[[#This Row],[希望]]&amp;登録一覧[[#This Row],[学生枠]]),"-")</f>
        <v>-</v>
      </c>
      <c r="K25" t="str">
        <f>IFERROR(ROW()+IF(登録一覧[[#This Row],[修士]]&lt;&gt;"", 0, IF(登録一覧[[#This Row],[非表示]]&lt;&gt;"",1000,10000)),"-")</f>
        <v>-</v>
      </c>
      <c r="L25">
        <f t="shared" si="0"/>
        <v>247</v>
      </c>
      <c r="M25" t="str">
        <f t="shared" si="3"/>
        <v>-247</v>
      </c>
      <c r="N2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" t="str">
        <f>IFERROR(IF(登録一覧[[#This Row],[決定]]="yes", 登録一覧[[#This Row],[希望]], "*"), "*")</f>
        <v>*</v>
      </c>
      <c r="P25">
        <f>COUNTIF($O$7:$O25,O25)</f>
        <v>19</v>
      </c>
      <c r="Q25" t="str">
        <f t="shared" si="2"/>
        <v>*19</v>
      </c>
      <c r="R25" t="str">
        <f>IFERROR(登録一覧[[#This Row],[学籍番号]],"-")</f>
        <v>-</v>
      </c>
      <c r="S25" t="str">
        <f>IFERROR(登録一覧[[#This Row],[氏名]],"-")</f>
        <v>-</v>
      </c>
    </row>
    <row r="26" spans="10:19" x14ac:dyDescent="0.4">
      <c r="J26" t="str">
        <f>IFERROR(IF(登録一覧[[#This Row],[希望]]="","-",登録一覧[[#This Row],[希望]]&amp;登録一覧[[#This Row],[学生枠]]),"-")</f>
        <v>-</v>
      </c>
      <c r="K26" t="str">
        <f>IFERROR(ROW()+IF(登録一覧[[#This Row],[修士]]&lt;&gt;"", 0, IF(登録一覧[[#This Row],[非表示]]&lt;&gt;"",1000,10000)),"-")</f>
        <v>-</v>
      </c>
      <c r="L26">
        <f t="shared" si="0"/>
        <v>247</v>
      </c>
      <c r="M26" t="str">
        <f t="shared" si="3"/>
        <v>-247</v>
      </c>
      <c r="N2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6" t="str">
        <f>IFERROR(IF(登録一覧[[#This Row],[決定]]="yes", 登録一覧[[#This Row],[希望]], "*"), "*")</f>
        <v>*</v>
      </c>
      <c r="P26">
        <f>COUNTIF($O$7:$O26,O26)</f>
        <v>20</v>
      </c>
      <c r="Q26" t="str">
        <f t="shared" si="2"/>
        <v>*20</v>
      </c>
      <c r="R26" t="str">
        <f>IFERROR(登録一覧[[#This Row],[学籍番号]],"-")</f>
        <v>-</v>
      </c>
      <c r="S26" t="str">
        <f>IFERROR(登録一覧[[#This Row],[氏名]],"-")</f>
        <v>-</v>
      </c>
    </row>
    <row r="27" spans="10:19" x14ac:dyDescent="0.4">
      <c r="J27" t="str">
        <f>IFERROR(IF(登録一覧[[#This Row],[希望]]="","-",登録一覧[[#This Row],[希望]]&amp;登録一覧[[#This Row],[学生枠]]),"-")</f>
        <v>-</v>
      </c>
      <c r="K27" t="str">
        <f>IFERROR(ROW()+IF(登録一覧[[#This Row],[修士]]&lt;&gt;"", 0, IF(登録一覧[[#This Row],[非表示]]&lt;&gt;"",1000,10000)),"-")</f>
        <v>-</v>
      </c>
      <c r="L27">
        <f t="shared" si="0"/>
        <v>247</v>
      </c>
      <c r="M27" t="str">
        <f t="shared" si="3"/>
        <v>-247</v>
      </c>
      <c r="N2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7" t="str">
        <f>IFERROR(IF(登録一覧[[#This Row],[決定]]="yes", 登録一覧[[#This Row],[希望]], "*"), "*")</f>
        <v>*</v>
      </c>
      <c r="P27">
        <f>COUNTIF($O$7:$O27,O27)</f>
        <v>21</v>
      </c>
      <c r="Q27" t="str">
        <f t="shared" si="2"/>
        <v>*21</v>
      </c>
      <c r="R27" t="str">
        <f>IFERROR(登録一覧[[#This Row],[学籍番号]],"-")</f>
        <v>-</v>
      </c>
      <c r="S27" t="str">
        <f>IFERROR(登録一覧[[#This Row],[氏名]],"-")</f>
        <v>-</v>
      </c>
    </row>
    <row r="28" spans="10:19" x14ac:dyDescent="0.4">
      <c r="J28" t="str">
        <f>IFERROR(IF(登録一覧[[#This Row],[希望]]="","-",登録一覧[[#This Row],[希望]]&amp;登録一覧[[#This Row],[学生枠]]),"-")</f>
        <v>-</v>
      </c>
      <c r="K28" t="str">
        <f>IFERROR(ROW()+IF(登録一覧[[#This Row],[修士]]&lt;&gt;"", 0, IF(登録一覧[[#This Row],[非表示]]&lt;&gt;"",1000,10000)),"-")</f>
        <v>-</v>
      </c>
      <c r="L28">
        <f t="shared" si="0"/>
        <v>247</v>
      </c>
      <c r="M28" t="str">
        <f t="shared" si="3"/>
        <v>-247</v>
      </c>
      <c r="N2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8" t="str">
        <f>IFERROR(IF(登録一覧[[#This Row],[決定]]="yes", 登録一覧[[#This Row],[希望]], "*"), "*")</f>
        <v>*</v>
      </c>
      <c r="P28">
        <f>COUNTIF($O$7:$O28,O28)</f>
        <v>22</v>
      </c>
      <c r="Q28" t="str">
        <f t="shared" si="2"/>
        <v>*22</v>
      </c>
      <c r="R28" t="str">
        <f>IFERROR(登録一覧[[#This Row],[学籍番号]],"-")</f>
        <v>-</v>
      </c>
      <c r="S28" t="str">
        <f>IFERROR(登録一覧[[#This Row],[氏名]],"-")</f>
        <v>-</v>
      </c>
    </row>
    <row r="29" spans="10:19" x14ac:dyDescent="0.4">
      <c r="J29" t="str">
        <f>IFERROR(IF(登録一覧[[#This Row],[希望]]="","-",登録一覧[[#This Row],[希望]]&amp;登録一覧[[#This Row],[学生枠]]),"-")</f>
        <v>-</v>
      </c>
      <c r="K29" t="str">
        <f>IFERROR(ROW()+IF(登録一覧[[#This Row],[修士]]&lt;&gt;"", 0, IF(登録一覧[[#This Row],[非表示]]&lt;&gt;"",1000,10000)),"-")</f>
        <v>-</v>
      </c>
      <c r="L29">
        <f t="shared" si="0"/>
        <v>247</v>
      </c>
      <c r="M29" t="str">
        <f t="shared" si="3"/>
        <v>-247</v>
      </c>
      <c r="N2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9" t="str">
        <f>IFERROR(IF(登録一覧[[#This Row],[決定]]="yes", 登録一覧[[#This Row],[希望]], "*"), "*")</f>
        <v>*</v>
      </c>
      <c r="P29">
        <f>COUNTIF($O$7:$O29,O29)</f>
        <v>23</v>
      </c>
      <c r="Q29" t="str">
        <f t="shared" si="2"/>
        <v>*23</v>
      </c>
      <c r="R29" t="str">
        <f>IFERROR(登録一覧[[#This Row],[学籍番号]],"-")</f>
        <v>-</v>
      </c>
      <c r="S29" t="str">
        <f>IFERROR(登録一覧[[#This Row],[氏名]],"-")</f>
        <v>-</v>
      </c>
    </row>
    <row r="30" spans="10:19" x14ac:dyDescent="0.4">
      <c r="J30" t="str">
        <f>IFERROR(IF(登録一覧[[#This Row],[希望]]="","-",登録一覧[[#This Row],[希望]]&amp;登録一覧[[#This Row],[学生枠]]),"-")</f>
        <v>-</v>
      </c>
      <c r="K30" t="str">
        <f>IFERROR(ROW()+IF(登録一覧[[#This Row],[修士]]&lt;&gt;"", 0, IF(登録一覧[[#This Row],[非表示]]&lt;&gt;"",1000,10000)),"-")</f>
        <v>-</v>
      </c>
      <c r="L30">
        <f t="shared" si="0"/>
        <v>247</v>
      </c>
      <c r="M30" t="str">
        <f t="shared" ref="M30:M87" si="4">J30&amp;L30</f>
        <v>-247</v>
      </c>
      <c r="N3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0" t="str">
        <f>IFERROR(IF(登録一覧[[#This Row],[決定]]="yes", 登録一覧[[#This Row],[希望]], "*"), "*")</f>
        <v>*</v>
      </c>
      <c r="P30">
        <f>COUNTIF($O$7:$O30,O30)</f>
        <v>24</v>
      </c>
      <c r="Q30" t="str">
        <f t="shared" si="2"/>
        <v>*24</v>
      </c>
      <c r="R30" t="str">
        <f>IFERROR(登録一覧[[#This Row],[学籍番号]],"-")</f>
        <v>-</v>
      </c>
      <c r="S30" t="str">
        <f>IFERROR(登録一覧[[#This Row],[氏名]],"-")</f>
        <v>-</v>
      </c>
    </row>
    <row r="31" spans="10:19" x14ac:dyDescent="0.4">
      <c r="J31" t="str">
        <f>IFERROR(IF(登録一覧[[#This Row],[希望]]="","-",登録一覧[[#This Row],[希望]]&amp;登録一覧[[#This Row],[学生枠]]),"-")</f>
        <v>-</v>
      </c>
      <c r="K31" t="str">
        <f>IFERROR(ROW()+IF(登録一覧[[#This Row],[修士]]&lt;&gt;"", 0, IF(登録一覧[[#This Row],[非表示]]&lt;&gt;"",1000,10000)),"-")</f>
        <v>-</v>
      </c>
      <c r="L31">
        <f t="shared" si="0"/>
        <v>247</v>
      </c>
      <c r="M31" t="str">
        <f t="shared" si="4"/>
        <v>-247</v>
      </c>
      <c r="N3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1" t="str">
        <f>IFERROR(IF(登録一覧[[#This Row],[決定]]="yes", 登録一覧[[#This Row],[希望]], "*"), "*")</f>
        <v>*</v>
      </c>
      <c r="P31">
        <f>COUNTIF($O$7:$O31,O31)</f>
        <v>25</v>
      </c>
      <c r="Q31" t="str">
        <f t="shared" si="2"/>
        <v>*25</v>
      </c>
      <c r="R31" t="str">
        <f>IFERROR(登録一覧[[#This Row],[学籍番号]],"-")</f>
        <v>-</v>
      </c>
      <c r="S31" t="str">
        <f>IFERROR(登録一覧[[#This Row],[氏名]],"-")</f>
        <v>-</v>
      </c>
    </row>
    <row r="32" spans="10:19" x14ac:dyDescent="0.4">
      <c r="J32" t="str">
        <f>IFERROR(IF(登録一覧[[#This Row],[希望]]="","-",登録一覧[[#This Row],[希望]]&amp;登録一覧[[#This Row],[学生枠]]),"-")</f>
        <v>-</v>
      </c>
      <c r="K32" t="str">
        <f>IFERROR(ROW()+IF(登録一覧[[#This Row],[修士]]&lt;&gt;"", 0, IF(登録一覧[[#This Row],[非表示]]&lt;&gt;"",1000,10000)),"-")</f>
        <v>-</v>
      </c>
      <c r="L32">
        <f t="shared" si="0"/>
        <v>247</v>
      </c>
      <c r="M32" t="str">
        <f t="shared" si="4"/>
        <v>-247</v>
      </c>
      <c r="N3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2" t="str">
        <f>IFERROR(IF(登録一覧[[#This Row],[決定]]="yes", 登録一覧[[#This Row],[希望]], "*"), "*")</f>
        <v>*</v>
      </c>
      <c r="P32">
        <f>COUNTIF($O$7:$O32,O32)</f>
        <v>26</v>
      </c>
      <c r="Q32" t="str">
        <f t="shared" si="2"/>
        <v>*26</v>
      </c>
      <c r="R32" t="str">
        <f>IFERROR(登録一覧[[#This Row],[学籍番号]],"-")</f>
        <v>-</v>
      </c>
      <c r="S32" t="str">
        <f>IFERROR(登録一覧[[#This Row],[氏名]],"-")</f>
        <v>-</v>
      </c>
    </row>
    <row r="33" spans="10:19" x14ac:dyDescent="0.4">
      <c r="J33" t="str">
        <f>IFERROR(IF(登録一覧[[#This Row],[希望]]="","-",登録一覧[[#This Row],[希望]]&amp;登録一覧[[#This Row],[学生枠]]),"-")</f>
        <v>-</v>
      </c>
      <c r="K33" t="str">
        <f>IFERROR(ROW()+IF(登録一覧[[#This Row],[修士]]&lt;&gt;"", 0, IF(登録一覧[[#This Row],[非表示]]&lt;&gt;"",1000,10000)),"-")</f>
        <v>-</v>
      </c>
      <c r="L33">
        <f t="shared" si="0"/>
        <v>247</v>
      </c>
      <c r="M33" t="str">
        <f t="shared" si="4"/>
        <v>-247</v>
      </c>
      <c r="N3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3" t="str">
        <f>IFERROR(IF(登録一覧[[#This Row],[決定]]="yes", 登録一覧[[#This Row],[希望]], "*"), "*")</f>
        <v>*</v>
      </c>
      <c r="P33">
        <f>COUNTIF($O$7:$O33,O33)</f>
        <v>27</v>
      </c>
      <c r="Q33" t="str">
        <f t="shared" si="2"/>
        <v>*27</v>
      </c>
      <c r="R33" t="str">
        <f>IFERROR(登録一覧[[#This Row],[学籍番号]],"-")</f>
        <v>-</v>
      </c>
      <c r="S33" t="str">
        <f>IFERROR(登録一覧[[#This Row],[氏名]],"-")</f>
        <v>-</v>
      </c>
    </row>
    <row r="34" spans="10:19" x14ac:dyDescent="0.4">
      <c r="J34" t="str">
        <f>IFERROR(IF(登録一覧[[#This Row],[希望]]="","-",登録一覧[[#This Row],[希望]]&amp;登録一覧[[#This Row],[学生枠]]),"-")</f>
        <v>-</v>
      </c>
      <c r="K34" t="str">
        <f>IFERROR(ROW()+IF(登録一覧[[#This Row],[修士]]&lt;&gt;"", 0, IF(登録一覧[[#This Row],[非表示]]&lt;&gt;"",1000,10000)),"-")</f>
        <v>-</v>
      </c>
      <c r="L34">
        <f t="shared" si="0"/>
        <v>247</v>
      </c>
      <c r="M34" t="str">
        <f t="shared" si="4"/>
        <v>-247</v>
      </c>
      <c r="N3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4" t="str">
        <f>IFERROR(IF(登録一覧[[#This Row],[決定]]="yes", 登録一覧[[#This Row],[希望]], "*"), "*")</f>
        <v>*</v>
      </c>
      <c r="P34">
        <f>COUNTIF($O$7:$O34,O34)</f>
        <v>28</v>
      </c>
      <c r="Q34" t="str">
        <f t="shared" si="2"/>
        <v>*28</v>
      </c>
      <c r="R34" t="str">
        <f>IFERROR(登録一覧[[#This Row],[学籍番号]],"-")</f>
        <v>-</v>
      </c>
      <c r="S34" t="str">
        <f>IFERROR(登録一覧[[#This Row],[氏名]],"-")</f>
        <v>-</v>
      </c>
    </row>
    <row r="35" spans="10:19" x14ac:dyDescent="0.4">
      <c r="J35" t="str">
        <f>IFERROR(IF(登録一覧[[#This Row],[希望]]="","-",登録一覧[[#This Row],[希望]]&amp;登録一覧[[#This Row],[学生枠]]),"-")</f>
        <v>-</v>
      </c>
      <c r="K35" t="str">
        <f>IFERROR(ROW()+IF(登録一覧[[#This Row],[修士]]&lt;&gt;"", 0, IF(登録一覧[[#This Row],[非表示]]&lt;&gt;"",1000,10000)),"-")</f>
        <v>-</v>
      </c>
      <c r="L35">
        <f t="shared" si="0"/>
        <v>247</v>
      </c>
      <c r="M35" t="str">
        <f t="shared" si="4"/>
        <v>-247</v>
      </c>
      <c r="N3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5" t="str">
        <f>IFERROR(IF(登録一覧[[#This Row],[決定]]="yes", 登録一覧[[#This Row],[希望]], "*"), "*")</f>
        <v>*</v>
      </c>
      <c r="P35">
        <f>COUNTIF($O$7:$O35,O35)</f>
        <v>29</v>
      </c>
      <c r="Q35" t="str">
        <f t="shared" si="2"/>
        <v>*29</v>
      </c>
      <c r="R35" t="str">
        <f>IFERROR(登録一覧[[#This Row],[学籍番号]],"-")</f>
        <v>-</v>
      </c>
      <c r="S35" t="str">
        <f>IFERROR(登録一覧[[#This Row],[氏名]],"-")</f>
        <v>-</v>
      </c>
    </row>
    <row r="36" spans="10:19" x14ac:dyDescent="0.4">
      <c r="J36" t="str">
        <f>IFERROR(IF(登録一覧[[#This Row],[希望]]="","-",登録一覧[[#This Row],[希望]]&amp;登録一覧[[#This Row],[学生枠]]),"-")</f>
        <v>-</v>
      </c>
      <c r="K36" t="str">
        <f>IFERROR(ROW()+IF(登録一覧[[#This Row],[修士]]&lt;&gt;"", 0, IF(登録一覧[[#This Row],[非表示]]&lt;&gt;"",1000,10000)),"-")</f>
        <v>-</v>
      </c>
      <c r="L36">
        <f t="shared" si="0"/>
        <v>247</v>
      </c>
      <c r="M36" t="str">
        <f t="shared" si="4"/>
        <v>-247</v>
      </c>
      <c r="N3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6" t="str">
        <f>IFERROR(IF(登録一覧[[#This Row],[決定]]="yes", 登録一覧[[#This Row],[希望]], "*"), "*")</f>
        <v>*</v>
      </c>
      <c r="P36">
        <f>COUNTIF($O$7:$O36,O36)</f>
        <v>30</v>
      </c>
      <c r="Q36" t="str">
        <f t="shared" si="2"/>
        <v>*30</v>
      </c>
      <c r="R36" t="str">
        <f>IFERROR(登録一覧[[#This Row],[学籍番号]],"-")</f>
        <v>-</v>
      </c>
      <c r="S36" t="str">
        <f>IFERROR(登録一覧[[#This Row],[氏名]],"-")</f>
        <v>-</v>
      </c>
    </row>
    <row r="37" spans="10:19" x14ac:dyDescent="0.4">
      <c r="J37" t="str">
        <f>IFERROR(IF(登録一覧[[#This Row],[希望]]="","-",登録一覧[[#This Row],[希望]]&amp;登録一覧[[#This Row],[学生枠]]),"-")</f>
        <v>-</v>
      </c>
      <c r="K37" t="str">
        <f>IFERROR(ROW()+IF(登録一覧[[#This Row],[修士]]&lt;&gt;"", 0, IF(登録一覧[[#This Row],[非表示]]&lt;&gt;"",1000,10000)),"-")</f>
        <v>-</v>
      </c>
      <c r="L37">
        <f t="shared" si="0"/>
        <v>247</v>
      </c>
      <c r="M37" t="str">
        <f t="shared" si="4"/>
        <v>-247</v>
      </c>
      <c r="N3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7" t="str">
        <f>IFERROR(IF(登録一覧[[#This Row],[決定]]="yes", 登録一覧[[#This Row],[希望]], "*"), "*")</f>
        <v>*</v>
      </c>
      <c r="P37">
        <f>COUNTIF($O$7:$O37,O37)</f>
        <v>31</v>
      </c>
      <c r="Q37" t="str">
        <f t="shared" si="2"/>
        <v>*31</v>
      </c>
      <c r="R37" t="str">
        <f>IFERROR(登録一覧[[#This Row],[学籍番号]],"-")</f>
        <v>-</v>
      </c>
      <c r="S37" t="str">
        <f>IFERROR(登録一覧[[#This Row],[氏名]],"-")</f>
        <v>-</v>
      </c>
    </row>
    <row r="38" spans="10:19" x14ac:dyDescent="0.4">
      <c r="J38" t="str">
        <f>IFERROR(IF(登録一覧[[#This Row],[希望]]="","-",登録一覧[[#This Row],[希望]]&amp;登録一覧[[#This Row],[学生枠]]),"-")</f>
        <v>-</v>
      </c>
      <c r="K38" t="str">
        <f>IFERROR(ROW()+IF(登録一覧[[#This Row],[修士]]&lt;&gt;"", 0, IF(登録一覧[[#This Row],[非表示]]&lt;&gt;"",1000,10000)),"-")</f>
        <v>-</v>
      </c>
      <c r="L38">
        <f t="shared" si="0"/>
        <v>247</v>
      </c>
      <c r="M38" t="str">
        <f t="shared" si="4"/>
        <v>-247</v>
      </c>
      <c r="N3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8" t="str">
        <f>IFERROR(IF(登録一覧[[#This Row],[決定]]="yes", 登録一覧[[#This Row],[希望]], "*"), "*")</f>
        <v>*</v>
      </c>
      <c r="P38">
        <f>COUNTIF($O$7:$O38,O38)</f>
        <v>32</v>
      </c>
      <c r="Q38" t="str">
        <f t="shared" si="2"/>
        <v>*32</v>
      </c>
      <c r="R38" t="str">
        <f>IFERROR(登録一覧[[#This Row],[学籍番号]],"-")</f>
        <v>-</v>
      </c>
      <c r="S38" t="str">
        <f>IFERROR(登録一覧[[#This Row],[氏名]],"-")</f>
        <v>-</v>
      </c>
    </row>
    <row r="39" spans="10:19" x14ac:dyDescent="0.4">
      <c r="J39" t="str">
        <f>IFERROR(IF(登録一覧[[#This Row],[希望]]="","-",登録一覧[[#This Row],[希望]]&amp;登録一覧[[#This Row],[学生枠]]),"-")</f>
        <v>-</v>
      </c>
      <c r="K39" t="str">
        <f>IFERROR(ROW()+IF(登録一覧[[#This Row],[修士]]&lt;&gt;"", 0, IF(登録一覧[[#This Row],[非表示]]&lt;&gt;"",1000,10000)),"-")</f>
        <v>-</v>
      </c>
      <c r="L39">
        <f t="shared" si="0"/>
        <v>247</v>
      </c>
      <c r="M39" t="str">
        <f t="shared" si="4"/>
        <v>-247</v>
      </c>
      <c r="N3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9" t="str">
        <f>IFERROR(IF(登録一覧[[#This Row],[決定]]="yes", 登録一覧[[#This Row],[希望]], "*"), "*")</f>
        <v>*</v>
      </c>
      <c r="P39">
        <f>COUNTIF($O$7:$O39,O39)</f>
        <v>33</v>
      </c>
      <c r="Q39" t="str">
        <f t="shared" si="2"/>
        <v>*33</v>
      </c>
      <c r="R39" t="str">
        <f>IFERROR(登録一覧[[#This Row],[学籍番号]],"-")</f>
        <v>-</v>
      </c>
      <c r="S39" t="str">
        <f>IFERROR(登録一覧[[#This Row],[氏名]],"-")</f>
        <v>-</v>
      </c>
    </row>
    <row r="40" spans="10:19" x14ac:dyDescent="0.4">
      <c r="J40" t="str">
        <f>IFERROR(IF(登録一覧[[#This Row],[希望]]="","-",登録一覧[[#This Row],[希望]]&amp;登録一覧[[#This Row],[学生枠]]),"-")</f>
        <v>-</v>
      </c>
      <c r="K40" t="str">
        <f>IFERROR(ROW()+IF(登録一覧[[#This Row],[修士]]&lt;&gt;"", 0, IF(登録一覧[[#This Row],[非表示]]&lt;&gt;"",1000,10000)),"-")</f>
        <v>-</v>
      </c>
      <c r="L40">
        <f t="shared" si="0"/>
        <v>247</v>
      </c>
      <c r="M40" t="str">
        <f t="shared" si="4"/>
        <v>-247</v>
      </c>
      <c r="N4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0" t="str">
        <f>IFERROR(IF(登録一覧[[#This Row],[決定]]="yes", 登録一覧[[#This Row],[希望]], "*"), "*")</f>
        <v>*</v>
      </c>
      <c r="P40">
        <f>COUNTIF($O$7:$O40,O40)</f>
        <v>34</v>
      </c>
      <c r="Q40" t="str">
        <f t="shared" si="2"/>
        <v>*34</v>
      </c>
      <c r="R40" t="str">
        <f>IFERROR(登録一覧[[#This Row],[学籍番号]],"-")</f>
        <v>-</v>
      </c>
      <c r="S40" t="str">
        <f>IFERROR(登録一覧[[#This Row],[氏名]],"-")</f>
        <v>-</v>
      </c>
    </row>
    <row r="41" spans="10:19" x14ac:dyDescent="0.4">
      <c r="J41" t="str">
        <f>IFERROR(IF(登録一覧[[#This Row],[希望]]="","-",登録一覧[[#This Row],[希望]]&amp;登録一覧[[#This Row],[学生枠]]),"-")</f>
        <v>-</v>
      </c>
      <c r="K41" t="str">
        <f>IFERROR(ROW()+IF(登録一覧[[#This Row],[修士]]&lt;&gt;"", 0, IF(登録一覧[[#This Row],[非表示]]&lt;&gt;"",1000,10000)),"-")</f>
        <v>-</v>
      </c>
      <c r="L41">
        <f t="shared" si="0"/>
        <v>247</v>
      </c>
      <c r="M41" t="str">
        <f t="shared" si="4"/>
        <v>-247</v>
      </c>
      <c r="N4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1" t="str">
        <f>IFERROR(IF(登録一覧[[#This Row],[決定]]="yes", 登録一覧[[#This Row],[希望]], "*"), "*")</f>
        <v>*</v>
      </c>
      <c r="P41">
        <f>COUNTIF($O$7:$O41,O41)</f>
        <v>35</v>
      </c>
      <c r="Q41" t="str">
        <f t="shared" si="2"/>
        <v>*35</v>
      </c>
      <c r="R41" t="str">
        <f>IFERROR(登録一覧[[#This Row],[学籍番号]],"-")</f>
        <v>-</v>
      </c>
      <c r="S41" t="str">
        <f>IFERROR(登録一覧[[#This Row],[氏名]],"-")</f>
        <v>-</v>
      </c>
    </row>
    <row r="42" spans="10:19" x14ac:dyDescent="0.4">
      <c r="J42" t="str">
        <f>IFERROR(IF(登録一覧[[#This Row],[希望]]="","-",登録一覧[[#This Row],[希望]]&amp;登録一覧[[#This Row],[学生枠]]),"-")</f>
        <v>-</v>
      </c>
      <c r="K42" t="str">
        <f>IFERROR(ROW()+IF(登録一覧[[#This Row],[修士]]&lt;&gt;"", 0, IF(登録一覧[[#This Row],[非表示]]&lt;&gt;"",1000,10000)),"-")</f>
        <v>-</v>
      </c>
      <c r="L42">
        <f t="shared" si="0"/>
        <v>247</v>
      </c>
      <c r="M42" t="str">
        <f t="shared" si="4"/>
        <v>-247</v>
      </c>
      <c r="N4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2" t="str">
        <f>IFERROR(IF(登録一覧[[#This Row],[決定]]="yes", 登録一覧[[#This Row],[希望]], "*"), "*")</f>
        <v>*</v>
      </c>
      <c r="P42">
        <f>COUNTIF($O$7:$O42,O42)</f>
        <v>36</v>
      </c>
      <c r="Q42" t="str">
        <f t="shared" si="2"/>
        <v>*36</v>
      </c>
      <c r="R42" t="str">
        <f>IFERROR(登録一覧[[#This Row],[学籍番号]],"-")</f>
        <v>-</v>
      </c>
      <c r="S42" t="str">
        <f>IFERROR(登録一覧[[#This Row],[氏名]],"-")</f>
        <v>-</v>
      </c>
    </row>
    <row r="43" spans="10:19" x14ac:dyDescent="0.4">
      <c r="J43" t="str">
        <f>IFERROR(IF(登録一覧[[#This Row],[希望]]="","-",登録一覧[[#This Row],[希望]]&amp;登録一覧[[#This Row],[学生枠]]),"-")</f>
        <v>-</v>
      </c>
      <c r="K43" t="str">
        <f>IFERROR(ROW()+IF(登録一覧[[#This Row],[修士]]&lt;&gt;"", 0, IF(登録一覧[[#This Row],[非表示]]&lt;&gt;"",1000,10000)),"-")</f>
        <v>-</v>
      </c>
      <c r="L43">
        <f t="shared" si="0"/>
        <v>247</v>
      </c>
      <c r="M43" t="str">
        <f t="shared" si="4"/>
        <v>-247</v>
      </c>
      <c r="N4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3" t="str">
        <f>IFERROR(IF(登録一覧[[#This Row],[決定]]="yes", 登録一覧[[#This Row],[希望]], "*"), "*")</f>
        <v>*</v>
      </c>
      <c r="P43">
        <f>COUNTIF($O$7:$O43,O43)</f>
        <v>37</v>
      </c>
      <c r="Q43" t="str">
        <f t="shared" si="2"/>
        <v>*37</v>
      </c>
      <c r="R43" t="str">
        <f>IFERROR(登録一覧[[#This Row],[学籍番号]],"-")</f>
        <v>-</v>
      </c>
      <c r="S43" t="str">
        <f>IFERROR(登録一覧[[#This Row],[氏名]],"-")</f>
        <v>-</v>
      </c>
    </row>
    <row r="44" spans="10:19" x14ac:dyDescent="0.4">
      <c r="J44" t="str">
        <f>IFERROR(IF(登録一覧[[#This Row],[希望]]="","-",登録一覧[[#This Row],[希望]]&amp;登録一覧[[#This Row],[学生枠]]),"-")</f>
        <v>-</v>
      </c>
      <c r="K44" t="str">
        <f>IFERROR(ROW()+IF(登録一覧[[#This Row],[修士]]&lt;&gt;"", 0, IF(登録一覧[[#This Row],[非表示]]&lt;&gt;"",1000,10000)),"-")</f>
        <v>-</v>
      </c>
      <c r="L44">
        <f t="shared" si="0"/>
        <v>247</v>
      </c>
      <c r="M44" t="str">
        <f t="shared" si="4"/>
        <v>-247</v>
      </c>
      <c r="N4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4" t="str">
        <f>IFERROR(IF(登録一覧[[#This Row],[決定]]="yes", 登録一覧[[#This Row],[希望]], "*"), "*")</f>
        <v>*</v>
      </c>
      <c r="P44">
        <f>COUNTIF($O$7:$O44,O44)</f>
        <v>38</v>
      </c>
      <c r="Q44" t="str">
        <f t="shared" si="2"/>
        <v>*38</v>
      </c>
      <c r="R44" t="str">
        <f>IFERROR(登録一覧[[#This Row],[学籍番号]],"-")</f>
        <v>-</v>
      </c>
      <c r="S44" t="str">
        <f>IFERROR(登録一覧[[#This Row],[氏名]],"-")</f>
        <v>-</v>
      </c>
    </row>
    <row r="45" spans="10:19" x14ac:dyDescent="0.4">
      <c r="J45" t="str">
        <f>IFERROR(IF(登録一覧[[#This Row],[希望]]="","-",登録一覧[[#This Row],[希望]]&amp;登録一覧[[#This Row],[学生枠]]),"-")</f>
        <v>-</v>
      </c>
      <c r="K45" t="str">
        <f>IFERROR(ROW()+IF(登録一覧[[#This Row],[修士]]&lt;&gt;"", 0, IF(登録一覧[[#This Row],[非表示]]&lt;&gt;"",1000,10000)),"-")</f>
        <v>-</v>
      </c>
      <c r="L45">
        <f t="shared" si="0"/>
        <v>247</v>
      </c>
      <c r="M45" t="str">
        <f t="shared" si="4"/>
        <v>-247</v>
      </c>
      <c r="N4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5" t="str">
        <f>IFERROR(IF(登録一覧[[#This Row],[決定]]="yes", 登録一覧[[#This Row],[希望]], "*"), "*")</f>
        <v>*</v>
      </c>
      <c r="P45">
        <f>COUNTIF($O$7:$O45,O45)</f>
        <v>39</v>
      </c>
      <c r="Q45" t="str">
        <f t="shared" si="2"/>
        <v>*39</v>
      </c>
      <c r="R45" t="str">
        <f>IFERROR(登録一覧[[#This Row],[学籍番号]],"-")</f>
        <v>-</v>
      </c>
      <c r="S45" t="str">
        <f>IFERROR(登録一覧[[#This Row],[氏名]],"-")</f>
        <v>-</v>
      </c>
    </row>
    <row r="46" spans="10:19" x14ac:dyDescent="0.4">
      <c r="J46" t="str">
        <f>IFERROR(IF(登録一覧[[#This Row],[希望]]="","-",登録一覧[[#This Row],[希望]]&amp;登録一覧[[#This Row],[学生枠]]),"-")</f>
        <v>-</v>
      </c>
      <c r="K46" t="str">
        <f>IFERROR(ROW()+IF(登録一覧[[#This Row],[修士]]&lt;&gt;"", 0, IF(登録一覧[[#This Row],[非表示]]&lt;&gt;"",1000,10000)),"-")</f>
        <v>-</v>
      </c>
      <c r="L46">
        <f t="shared" si="0"/>
        <v>247</v>
      </c>
      <c r="M46" t="str">
        <f t="shared" si="4"/>
        <v>-247</v>
      </c>
      <c r="N4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6" t="str">
        <f>IFERROR(IF(登録一覧[[#This Row],[決定]]="yes", 登録一覧[[#This Row],[希望]], "*"), "*")</f>
        <v>*</v>
      </c>
      <c r="P46">
        <f>COUNTIF($O$7:$O46,O46)</f>
        <v>40</v>
      </c>
      <c r="Q46" t="str">
        <f t="shared" si="2"/>
        <v>*40</v>
      </c>
      <c r="R46" t="str">
        <f>IFERROR(登録一覧[[#This Row],[学籍番号]],"-")</f>
        <v>-</v>
      </c>
      <c r="S46" t="str">
        <f>IFERROR(登録一覧[[#This Row],[氏名]],"-")</f>
        <v>-</v>
      </c>
    </row>
    <row r="47" spans="10:19" x14ac:dyDescent="0.4">
      <c r="J47" t="str">
        <f>IFERROR(IF(登録一覧[[#This Row],[希望]]="","-",登録一覧[[#This Row],[希望]]&amp;登録一覧[[#This Row],[学生枠]]),"-")</f>
        <v>-</v>
      </c>
      <c r="K47" t="str">
        <f>IFERROR(ROW()+IF(登録一覧[[#This Row],[修士]]&lt;&gt;"", 0, IF(登録一覧[[#This Row],[非表示]]&lt;&gt;"",1000,10000)),"-")</f>
        <v>-</v>
      </c>
      <c r="L47">
        <f t="shared" si="0"/>
        <v>247</v>
      </c>
      <c r="M47" t="str">
        <f t="shared" si="4"/>
        <v>-247</v>
      </c>
      <c r="N4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7" t="str">
        <f>IFERROR(IF(登録一覧[[#This Row],[決定]]="yes", 登録一覧[[#This Row],[希望]], "*"), "*")</f>
        <v>*</v>
      </c>
      <c r="P47">
        <f>COUNTIF($O$7:$O47,O47)</f>
        <v>41</v>
      </c>
      <c r="Q47" t="str">
        <f t="shared" si="2"/>
        <v>*41</v>
      </c>
      <c r="R47" t="str">
        <f>IFERROR(登録一覧[[#This Row],[学籍番号]],"-")</f>
        <v>-</v>
      </c>
      <c r="S47" t="str">
        <f>IFERROR(登録一覧[[#This Row],[氏名]],"-")</f>
        <v>-</v>
      </c>
    </row>
    <row r="48" spans="10:19" x14ac:dyDescent="0.4">
      <c r="J48" t="str">
        <f>IFERROR(IF(登録一覧[[#This Row],[希望]]="","-",登録一覧[[#This Row],[希望]]&amp;登録一覧[[#This Row],[学生枠]]),"-")</f>
        <v>-</v>
      </c>
      <c r="K48" t="str">
        <f>IFERROR(ROW()+IF(登録一覧[[#This Row],[修士]]&lt;&gt;"", 0, IF(登録一覧[[#This Row],[非表示]]&lt;&gt;"",1000,10000)),"-")</f>
        <v>-</v>
      </c>
      <c r="L48">
        <f t="shared" si="0"/>
        <v>247</v>
      </c>
      <c r="M48" t="str">
        <f t="shared" si="4"/>
        <v>-247</v>
      </c>
      <c r="N4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8" t="str">
        <f>IFERROR(IF(登録一覧[[#This Row],[決定]]="yes", 登録一覧[[#This Row],[希望]], "*"), "*")</f>
        <v>*</v>
      </c>
      <c r="P48">
        <f>COUNTIF($O$7:$O48,O48)</f>
        <v>42</v>
      </c>
      <c r="Q48" t="str">
        <f t="shared" si="2"/>
        <v>*42</v>
      </c>
      <c r="R48" t="str">
        <f>IFERROR(登録一覧[[#This Row],[学籍番号]],"-")</f>
        <v>-</v>
      </c>
      <c r="S48" t="str">
        <f>IFERROR(登録一覧[[#This Row],[氏名]],"-")</f>
        <v>-</v>
      </c>
    </row>
    <row r="49" spans="10:19" x14ac:dyDescent="0.4">
      <c r="J49" t="str">
        <f>IFERROR(IF(登録一覧[[#This Row],[希望]]="","-",登録一覧[[#This Row],[希望]]&amp;登録一覧[[#This Row],[学生枠]]),"-")</f>
        <v>-</v>
      </c>
      <c r="K49" t="str">
        <f>IFERROR(ROW()+IF(登録一覧[[#This Row],[修士]]&lt;&gt;"", 0, IF(登録一覧[[#This Row],[非表示]]&lt;&gt;"",1000,10000)),"-")</f>
        <v>-</v>
      </c>
      <c r="L49">
        <f t="shared" si="0"/>
        <v>247</v>
      </c>
      <c r="M49" t="str">
        <f t="shared" si="4"/>
        <v>-247</v>
      </c>
      <c r="N4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9" t="str">
        <f>IFERROR(IF(登録一覧[[#This Row],[決定]]="yes", 登録一覧[[#This Row],[希望]], "*"), "*")</f>
        <v>*</v>
      </c>
      <c r="P49">
        <f>COUNTIF($O$7:$O49,O49)</f>
        <v>43</v>
      </c>
      <c r="Q49" t="str">
        <f t="shared" si="2"/>
        <v>*43</v>
      </c>
      <c r="R49" t="str">
        <f>IFERROR(登録一覧[[#This Row],[学籍番号]],"-")</f>
        <v>-</v>
      </c>
      <c r="S49" t="str">
        <f>IFERROR(登録一覧[[#This Row],[氏名]],"-")</f>
        <v>-</v>
      </c>
    </row>
    <row r="50" spans="10:19" x14ac:dyDescent="0.4">
      <c r="J50" t="str">
        <f>IFERROR(IF(登録一覧[[#This Row],[希望]]="","-",登録一覧[[#This Row],[希望]]&amp;登録一覧[[#This Row],[学生枠]]),"-")</f>
        <v>-</v>
      </c>
      <c r="K50" t="str">
        <f>IFERROR(ROW()+IF(登録一覧[[#This Row],[修士]]&lt;&gt;"", 0, IF(登録一覧[[#This Row],[非表示]]&lt;&gt;"",1000,10000)),"-")</f>
        <v>-</v>
      </c>
      <c r="L50">
        <f t="shared" si="0"/>
        <v>247</v>
      </c>
      <c r="M50" t="str">
        <f t="shared" si="4"/>
        <v>-247</v>
      </c>
      <c r="N5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0" t="str">
        <f>IFERROR(IF(登録一覧[[#This Row],[決定]]="yes", 登録一覧[[#This Row],[希望]], "*"), "*")</f>
        <v>*</v>
      </c>
      <c r="P50">
        <f>COUNTIF($O$7:$O50,O50)</f>
        <v>44</v>
      </c>
      <c r="Q50" t="str">
        <f t="shared" si="2"/>
        <v>*44</v>
      </c>
      <c r="R50" t="str">
        <f>IFERROR(登録一覧[[#This Row],[学籍番号]],"-")</f>
        <v>-</v>
      </c>
      <c r="S50" t="str">
        <f>IFERROR(登録一覧[[#This Row],[氏名]],"-")</f>
        <v>-</v>
      </c>
    </row>
    <row r="51" spans="10:19" x14ac:dyDescent="0.4">
      <c r="J51" t="str">
        <f>IFERROR(IF(登録一覧[[#This Row],[希望]]="","-",登録一覧[[#This Row],[希望]]&amp;登録一覧[[#This Row],[学生枠]]),"-")</f>
        <v>-</v>
      </c>
      <c r="K51" t="str">
        <f>IFERROR(ROW()+IF(登録一覧[[#This Row],[修士]]&lt;&gt;"", 0, IF(登録一覧[[#This Row],[非表示]]&lt;&gt;"",1000,10000)),"-")</f>
        <v>-</v>
      </c>
      <c r="L51">
        <f t="shared" si="0"/>
        <v>247</v>
      </c>
      <c r="M51" t="str">
        <f t="shared" si="4"/>
        <v>-247</v>
      </c>
      <c r="N5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1" t="str">
        <f>IFERROR(IF(登録一覧[[#This Row],[決定]]="yes", 登録一覧[[#This Row],[希望]], "*"), "*")</f>
        <v>*</v>
      </c>
      <c r="P51">
        <f>COUNTIF($O$7:$O51,O51)</f>
        <v>45</v>
      </c>
      <c r="Q51" t="str">
        <f t="shared" si="2"/>
        <v>*45</v>
      </c>
      <c r="R51" t="str">
        <f>IFERROR(登録一覧[[#This Row],[学籍番号]],"-")</f>
        <v>-</v>
      </c>
      <c r="S51" t="str">
        <f>IFERROR(登録一覧[[#This Row],[氏名]],"-")</f>
        <v>-</v>
      </c>
    </row>
    <row r="52" spans="10:19" x14ac:dyDescent="0.4">
      <c r="J52" t="str">
        <f>IFERROR(IF(登録一覧[[#This Row],[希望]]="","-",登録一覧[[#This Row],[希望]]&amp;登録一覧[[#This Row],[学生枠]]),"-")</f>
        <v>-</v>
      </c>
      <c r="K52" t="str">
        <f>IFERROR(ROW()+IF(登録一覧[[#This Row],[修士]]&lt;&gt;"", 0, IF(登録一覧[[#This Row],[非表示]]&lt;&gt;"",1000,10000)),"-")</f>
        <v>-</v>
      </c>
      <c r="L52">
        <f t="shared" si="0"/>
        <v>247</v>
      </c>
      <c r="M52" t="str">
        <f t="shared" si="4"/>
        <v>-247</v>
      </c>
      <c r="N5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2" t="str">
        <f>IFERROR(IF(登録一覧[[#This Row],[決定]]="yes", 登録一覧[[#This Row],[希望]], "*"), "*")</f>
        <v>*</v>
      </c>
      <c r="P52">
        <f>COUNTIF($O$7:$O52,O52)</f>
        <v>46</v>
      </c>
      <c r="Q52" t="str">
        <f t="shared" si="2"/>
        <v>*46</v>
      </c>
      <c r="R52" t="str">
        <f>IFERROR(登録一覧[[#This Row],[学籍番号]],"-")</f>
        <v>-</v>
      </c>
      <c r="S52" t="str">
        <f>IFERROR(登録一覧[[#This Row],[氏名]],"-")</f>
        <v>-</v>
      </c>
    </row>
    <row r="53" spans="10:19" x14ac:dyDescent="0.4">
      <c r="J53" t="str">
        <f>IFERROR(IF(登録一覧[[#This Row],[希望]]="","-",登録一覧[[#This Row],[希望]]&amp;登録一覧[[#This Row],[学生枠]]),"-")</f>
        <v>-</v>
      </c>
      <c r="K53" t="str">
        <f>IFERROR(ROW()+IF(登録一覧[[#This Row],[修士]]&lt;&gt;"", 0, IF(登録一覧[[#This Row],[非表示]]&lt;&gt;"",1000,10000)),"-")</f>
        <v>-</v>
      </c>
      <c r="L53">
        <f t="shared" si="0"/>
        <v>247</v>
      </c>
      <c r="M53" t="str">
        <f t="shared" si="4"/>
        <v>-247</v>
      </c>
      <c r="N5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3" t="str">
        <f>IFERROR(IF(登録一覧[[#This Row],[決定]]="yes", 登録一覧[[#This Row],[希望]], "*"), "*")</f>
        <v>*</v>
      </c>
      <c r="P53">
        <f>COUNTIF($O$7:$O53,O53)</f>
        <v>47</v>
      </c>
      <c r="Q53" t="str">
        <f t="shared" si="2"/>
        <v>*47</v>
      </c>
      <c r="R53" t="str">
        <f>IFERROR(登録一覧[[#This Row],[学籍番号]],"-")</f>
        <v>-</v>
      </c>
      <c r="S53" t="str">
        <f>IFERROR(登録一覧[[#This Row],[氏名]],"-")</f>
        <v>-</v>
      </c>
    </row>
    <row r="54" spans="10:19" x14ac:dyDescent="0.4">
      <c r="J54" t="str">
        <f>IFERROR(IF(登録一覧[[#This Row],[希望]]="","-",登録一覧[[#This Row],[希望]]&amp;登録一覧[[#This Row],[学生枠]]),"-")</f>
        <v>-</v>
      </c>
      <c r="K54" t="str">
        <f>IFERROR(ROW()+IF(登録一覧[[#This Row],[修士]]&lt;&gt;"", 0, IF(登録一覧[[#This Row],[非表示]]&lt;&gt;"",1000,10000)),"-")</f>
        <v>-</v>
      </c>
      <c r="L54">
        <f t="shared" si="0"/>
        <v>247</v>
      </c>
      <c r="M54" t="str">
        <f t="shared" si="4"/>
        <v>-247</v>
      </c>
      <c r="N5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4" t="str">
        <f>IFERROR(IF(登録一覧[[#This Row],[決定]]="yes", 登録一覧[[#This Row],[希望]], "*"), "*")</f>
        <v>*</v>
      </c>
      <c r="P54">
        <f>COUNTIF($O$7:$O54,O54)</f>
        <v>48</v>
      </c>
      <c r="Q54" t="str">
        <f t="shared" si="2"/>
        <v>*48</v>
      </c>
      <c r="R54" t="str">
        <f>IFERROR(登録一覧[[#This Row],[学籍番号]],"-")</f>
        <v>-</v>
      </c>
      <c r="S54" t="str">
        <f>IFERROR(登録一覧[[#This Row],[氏名]],"-")</f>
        <v>-</v>
      </c>
    </row>
    <row r="55" spans="10:19" x14ac:dyDescent="0.4">
      <c r="J55" t="str">
        <f>IFERROR(IF(登録一覧[[#This Row],[希望]]="","-",登録一覧[[#This Row],[希望]]&amp;登録一覧[[#This Row],[学生枠]]),"-")</f>
        <v>-</v>
      </c>
      <c r="K55" t="str">
        <f>IFERROR(ROW()+IF(登録一覧[[#This Row],[修士]]&lt;&gt;"", 0, IF(登録一覧[[#This Row],[非表示]]&lt;&gt;"",1000,10000)),"-")</f>
        <v>-</v>
      </c>
      <c r="L55">
        <f t="shared" si="0"/>
        <v>247</v>
      </c>
      <c r="M55" t="str">
        <f t="shared" si="4"/>
        <v>-247</v>
      </c>
      <c r="N5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5" t="str">
        <f>IFERROR(IF(登録一覧[[#This Row],[決定]]="yes", 登録一覧[[#This Row],[希望]], "*"), "*")</f>
        <v>*</v>
      </c>
      <c r="P55">
        <f>COUNTIF($O$7:$O55,O55)</f>
        <v>49</v>
      </c>
      <c r="Q55" t="str">
        <f t="shared" si="2"/>
        <v>*49</v>
      </c>
      <c r="R55" t="str">
        <f>IFERROR(登録一覧[[#This Row],[学籍番号]],"-")</f>
        <v>-</v>
      </c>
      <c r="S55" t="str">
        <f>IFERROR(登録一覧[[#This Row],[氏名]],"-")</f>
        <v>-</v>
      </c>
    </row>
    <row r="56" spans="10:19" x14ac:dyDescent="0.4">
      <c r="J56" t="str">
        <f>IFERROR(IF(登録一覧[[#This Row],[希望]]="","-",登録一覧[[#This Row],[希望]]&amp;登録一覧[[#This Row],[学生枠]]),"-")</f>
        <v>-</v>
      </c>
      <c r="K56" t="str">
        <f>IFERROR(ROW()+IF(登録一覧[[#This Row],[修士]]&lt;&gt;"", 0, IF(登録一覧[[#This Row],[非表示]]&lt;&gt;"",1000,10000)),"-")</f>
        <v>-</v>
      </c>
      <c r="L56">
        <f t="shared" si="0"/>
        <v>247</v>
      </c>
      <c r="M56" t="str">
        <f t="shared" si="4"/>
        <v>-247</v>
      </c>
      <c r="N5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6" t="str">
        <f>IFERROR(IF(登録一覧[[#This Row],[決定]]="yes", 登録一覧[[#This Row],[希望]], "*"), "*")</f>
        <v>*</v>
      </c>
      <c r="P56">
        <f>COUNTIF($O$7:$O56,O56)</f>
        <v>50</v>
      </c>
      <c r="Q56" t="str">
        <f t="shared" si="2"/>
        <v>*50</v>
      </c>
      <c r="R56" t="str">
        <f>IFERROR(登録一覧[[#This Row],[学籍番号]],"-")</f>
        <v>-</v>
      </c>
      <c r="S56" t="str">
        <f>IFERROR(登録一覧[[#This Row],[氏名]],"-")</f>
        <v>-</v>
      </c>
    </row>
    <row r="57" spans="10:19" x14ac:dyDescent="0.4">
      <c r="J57" t="str">
        <f>IFERROR(IF(登録一覧[[#This Row],[希望]]="","-",登録一覧[[#This Row],[希望]]&amp;登録一覧[[#This Row],[学生枠]]),"-")</f>
        <v>-</v>
      </c>
      <c r="K57" t="str">
        <f>IFERROR(ROW()+IF(登録一覧[[#This Row],[修士]]&lt;&gt;"", 0, IF(登録一覧[[#This Row],[非表示]]&lt;&gt;"",1000,10000)),"-")</f>
        <v>-</v>
      </c>
      <c r="L57">
        <f t="shared" si="0"/>
        <v>247</v>
      </c>
      <c r="M57" t="str">
        <f t="shared" si="4"/>
        <v>-247</v>
      </c>
      <c r="N5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7" t="str">
        <f>IFERROR(IF(登録一覧[[#This Row],[決定]]="yes", 登録一覧[[#This Row],[希望]], "*"), "*")</f>
        <v>*</v>
      </c>
      <c r="P57">
        <f>COUNTIF($O$7:$O57,O57)</f>
        <v>51</v>
      </c>
      <c r="Q57" t="str">
        <f t="shared" si="2"/>
        <v>*51</v>
      </c>
      <c r="R57" t="str">
        <f>IFERROR(登録一覧[[#This Row],[学籍番号]],"-")</f>
        <v>-</v>
      </c>
      <c r="S57" t="str">
        <f>IFERROR(登録一覧[[#This Row],[氏名]],"-")</f>
        <v>-</v>
      </c>
    </row>
    <row r="58" spans="10:19" x14ac:dyDescent="0.4">
      <c r="J58" t="str">
        <f>IFERROR(IF(登録一覧[[#This Row],[希望]]="","-",登録一覧[[#This Row],[希望]]&amp;登録一覧[[#This Row],[学生枠]]),"-")</f>
        <v>-</v>
      </c>
      <c r="K58" t="str">
        <f>IFERROR(ROW()+IF(登録一覧[[#This Row],[修士]]&lt;&gt;"", 0, IF(登録一覧[[#This Row],[非表示]]&lt;&gt;"",1000,10000)),"-")</f>
        <v>-</v>
      </c>
      <c r="L58">
        <f t="shared" si="0"/>
        <v>247</v>
      </c>
      <c r="M58" t="str">
        <f t="shared" si="4"/>
        <v>-247</v>
      </c>
      <c r="N5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8" t="str">
        <f>IFERROR(IF(登録一覧[[#This Row],[決定]]="yes", 登録一覧[[#This Row],[希望]], "*"), "*")</f>
        <v>*</v>
      </c>
      <c r="P58">
        <f>COUNTIF($O$7:$O58,O58)</f>
        <v>52</v>
      </c>
      <c r="Q58" t="str">
        <f t="shared" si="2"/>
        <v>*52</v>
      </c>
      <c r="R58" t="str">
        <f>IFERROR(登録一覧[[#This Row],[学籍番号]],"-")</f>
        <v>-</v>
      </c>
      <c r="S58" t="str">
        <f>IFERROR(登録一覧[[#This Row],[氏名]],"-")</f>
        <v>-</v>
      </c>
    </row>
    <row r="59" spans="10:19" x14ac:dyDescent="0.4">
      <c r="J59" t="str">
        <f>IFERROR(IF(登録一覧[[#This Row],[希望]]="","-",登録一覧[[#This Row],[希望]]&amp;登録一覧[[#This Row],[学生枠]]),"-")</f>
        <v>-</v>
      </c>
      <c r="K59" t="str">
        <f>IFERROR(ROW()+IF(登録一覧[[#This Row],[修士]]&lt;&gt;"", 0, IF(登録一覧[[#This Row],[非表示]]&lt;&gt;"",1000,10000)),"-")</f>
        <v>-</v>
      </c>
      <c r="L59">
        <f t="shared" si="0"/>
        <v>247</v>
      </c>
      <c r="M59" t="str">
        <f t="shared" si="4"/>
        <v>-247</v>
      </c>
      <c r="N5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9" t="str">
        <f>IFERROR(IF(登録一覧[[#This Row],[決定]]="yes", 登録一覧[[#This Row],[希望]], "*"), "*")</f>
        <v>*</v>
      </c>
      <c r="P59">
        <f>COUNTIF($O$7:$O59,O59)</f>
        <v>53</v>
      </c>
      <c r="Q59" t="str">
        <f t="shared" si="2"/>
        <v>*53</v>
      </c>
      <c r="R59" t="str">
        <f>IFERROR(登録一覧[[#This Row],[学籍番号]],"-")</f>
        <v>-</v>
      </c>
      <c r="S59" t="str">
        <f>IFERROR(登録一覧[[#This Row],[氏名]],"-")</f>
        <v>-</v>
      </c>
    </row>
    <row r="60" spans="10:19" x14ac:dyDescent="0.4">
      <c r="J60" t="str">
        <f>IFERROR(IF(登録一覧[[#This Row],[希望]]="","-",登録一覧[[#This Row],[希望]]&amp;登録一覧[[#This Row],[学生枠]]),"-")</f>
        <v>-</v>
      </c>
      <c r="K60" t="str">
        <f>IFERROR(ROW()+IF(登録一覧[[#This Row],[修士]]&lt;&gt;"", 0, IF(登録一覧[[#This Row],[非表示]]&lt;&gt;"",1000,10000)),"-")</f>
        <v>-</v>
      </c>
      <c r="L60">
        <f t="shared" si="0"/>
        <v>247</v>
      </c>
      <c r="M60" t="str">
        <f t="shared" si="4"/>
        <v>-247</v>
      </c>
      <c r="N6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0" t="str">
        <f>IFERROR(IF(登録一覧[[#This Row],[決定]]="yes", 登録一覧[[#This Row],[希望]], "*"), "*")</f>
        <v>*</v>
      </c>
      <c r="P60">
        <f>COUNTIF($O$7:$O60,O60)</f>
        <v>54</v>
      </c>
      <c r="Q60" t="str">
        <f t="shared" si="2"/>
        <v>*54</v>
      </c>
      <c r="R60" t="str">
        <f>IFERROR(登録一覧[[#This Row],[学籍番号]],"-")</f>
        <v>-</v>
      </c>
      <c r="S60" t="str">
        <f>IFERROR(登録一覧[[#This Row],[氏名]],"-")</f>
        <v>-</v>
      </c>
    </row>
    <row r="61" spans="10:19" x14ac:dyDescent="0.4">
      <c r="J61" t="str">
        <f>IFERROR(IF(登録一覧[[#This Row],[希望]]="","-",登録一覧[[#This Row],[希望]]&amp;登録一覧[[#This Row],[学生枠]]),"-")</f>
        <v>-</v>
      </c>
      <c r="K61" t="str">
        <f>IFERROR(ROW()+IF(登録一覧[[#This Row],[修士]]&lt;&gt;"", 0, IF(登録一覧[[#This Row],[非表示]]&lt;&gt;"",1000,10000)),"-")</f>
        <v>-</v>
      </c>
      <c r="L61">
        <f t="shared" si="0"/>
        <v>247</v>
      </c>
      <c r="M61" t="str">
        <f t="shared" si="4"/>
        <v>-247</v>
      </c>
      <c r="N6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1" t="str">
        <f>IFERROR(IF(登録一覧[[#This Row],[決定]]="yes", 登録一覧[[#This Row],[希望]], "*"), "*")</f>
        <v>*</v>
      </c>
      <c r="P61">
        <f>COUNTIF($O$7:$O61,O61)</f>
        <v>55</v>
      </c>
      <c r="Q61" t="str">
        <f t="shared" si="2"/>
        <v>*55</v>
      </c>
      <c r="R61" t="str">
        <f>IFERROR(登録一覧[[#This Row],[学籍番号]],"-")</f>
        <v>-</v>
      </c>
      <c r="S61" t="str">
        <f>IFERROR(登録一覧[[#This Row],[氏名]],"-")</f>
        <v>-</v>
      </c>
    </row>
    <row r="62" spans="10:19" x14ac:dyDescent="0.4">
      <c r="J62" t="str">
        <f>IFERROR(IF(登録一覧[[#This Row],[希望]]="","-",登録一覧[[#This Row],[希望]]&amp;登録一覧[[#This Row],[学生枠]]),"-")</f>
        <v>-</v>
      </c>
      <c r="K62" t="str">
        <f>IFERROR(ROW()+IF(登録一覧[[#This Row],[修士]]&lt;&gt;"", 0, IF(登録一覧[[#This Row],[非表示]]&lt;&gt;"",1000,10000)),"-")</f>
        <v>-</v>
      </c>
      <c r="L62">
        <f t="shared" si="0"/>
        <v>247</v>
      </c>
      <c r="M62" t="str">
        <f t="shared" si="4"/>
        <v>-247</v>
      </c>
      <c r="N6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2" t="str">
        <f>IFERROR(IF(登録一覧[[#This Row],[決定]]="yes", 登録一覧[[#This Row],[希望]], "*"), "*")</f>
        <v>*</v>
      </c>
      <c r="P62">
        <f>COUNTIF($O$7:$O62,O62)</f>
        <v>56</v>
      </c>
      <c r="Q62" t="str">
        <f t="shared" si="2"/>
        <v>*56</v>
      </c>
      <c r="R62" t="str">
        <f>IFERROR(登録一覧[[#This Row],[学籍番号]],"-")</f>
        <v>-</v>
      </c>
      <c r="S62" t="str">
        <f>IFERROR(登録一覧[[#This Row],[氏名]],"-")</f>
        <v>-</v>
      </c>
    </row>
    <row r="63" spans="10:19" x14ac:dyDescent="0.4">
      <c r="J63" t="str">
        <f>IFERROR(IF(登録一覧[[#This Row],[希望]]="","-",登録一覧[[#This Row],[希望]]&amp;登録一覧[[#This Row],[学生枠]]),"-")</f>
        <v>-</v>
      </c>
      <c r="K63" t="str">
        <f>IFERROR(ROW()+IF(登録一覧[[#This Row],[修士]]&lt;&gt;"", 0, IF(登録一覧[[#This Row],[非表示]]&lt;&gt;"",1000,10000)),"-")</f>
        <v>-</v>
      </c>
      <c r="L63">
        <f t="shared" si="0"/>
        <v>247</v>
      </c>
      <c r="M63" t="str">
        <f t="shared" si="4"/>
        <v>-247</v>
      </c>
      <c r="N6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3" t="str">
        <f>IFERROR(IF(登録一覧[[#This Row],[決定]]="yes", 登録一覧[[#This Row],[希望]], "*"), "*")</f>
        <v>*</v>
      </c>
      <c r="P63">
        <f>COUNTIF($O$7:$O63,O63)</f>
        <v>57</v>
      </c>
      <c r="Q63" t="str">
        <f t="shared" si="2"/>
        <v>*57</v>
      </c>
      <c r="R63" t="str">
        <f>IFERROR(登録一覧[[#This Row],[学籍番号]],"-")</f>
        <v>-</v>
      </c>
      <c r="S63" t="str">
        <f>IFERROR(登録一覧[[#This Row],[氏名]],"-")</f>
        <v>-</v>
      </c>
    </row>
    <row r="64" spans="10:19" x14ac:dyDescent="0.4">
      <c r="J64" t="str">
        <f>IFERROR(IF(登録一覧[[#This Row],[希望]]="","-",登録一覧[[#This Row],[希望]]&amp;登録一覧[[#This Row],[学生枠]]),"-")</f>
        <v>-</v>
      </c>
      <c r="K64" t="str">
        <f>IFERROR(ROW()+IF(登録一覧[[#This Row],[修士]]&lt;&gt;"", 0, IF(登録一覧[[#This Row],[非表示]]&lt;&gt;"",1000,10000)),"-")</f>
        <v>-</v>
      </c>
      <c r="L64">
        <f t="shared" si="0"/>
        <v>247</v>
      </c>
      <c r="M64" t="str">
        <f t="shared" si="4"/>
        <v>-247</v>
      </c>
      <c r="N6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4" t="str">
        <f>IFERROR(IF(登録一覧[[#This Row],[決定]]="yes", 登録一覧[[#This Row],[希望]], "*"), "*")</f>
        <v>*</v>
      </c>
      <c r="P64">
        <f>COUNTIF($O$7:$O64,O64)</f>
        <v>58</v>
      </c>
      <c r="Q64" t="str">
        <f t="shared" si="2"/>
        <v>*58</v>
      </c>
      <c r="R64" t="str">
        <f>IFERROR(登録一覧[[#This Row],[学籍番号]],"-")</f>
        <v>-</v>
      </c>
      <c r="S64" t="str">
        <f>IFERROR(登録一覧[[#This Row],[氏名]],"-")</f>
        <v>-</v>
      </c>
    </row>
    <row r="65" spans="10:19" x14ac:dyDescent="0.4">
      <c r="J65" t="str">
        <f>IFERROR(IF(登録一覧[[#This Row],[希望]]="","-",登録一覧[[#This Row],[希望]]&amp;登録一覧[[#This Row],[学生枠]]),"-")</f>
        <v>-</v>
      </c>
      <c r="K65" t="str">
        <f>IFERROR(ROW()+IF(登録一覧[[#This Row],[修士]]&lt;&gt;"", 0, IF(登録一覧[[#This Row],[非表示]]&lt;&gt;"",1000,10000)),"-")</f>
        <v>-</v>
      </c>
      <c r="L65">
        <f t="shared" si="0"/>
        <v>247</v>
      </c>
      <c r="M65" t="str">
        <f t="shared" si="4"/>
        <v>-247</v>
      </c>
      <c r="N6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5" t="str">
        <f>IFERROR(IF(登録一覧[[#This Row],[決定]]="yes", 登録一覧[[#This Row],[希望]], "*"), "*")</f>
        <v>*</v>
      </c>
      <c r="P65">
        <f>COUNTIF($O$7:$O65,O65)</f>
        <v>59</v>
      </c>
      <c r="Q65" t="str">
        <f t="shared" si="2"/>
        <v>*59</v>
      </c>
      <c r="R65" t="str">
        <f>IFERROR(登録一覧[[#This Row],[学籍番号]],"-")</f>
        <v>-</v>
      </c>
      <c r="S65" t="str">
        <f>IFERROR(登録一覧[[#This Row],[氏名]],"-")</f>
        <v>-</v>
      </c>
    </row>
    <row r="66" spans="10:19" x14ac:dyDescent="0.4">
      <c r="J66" t="str">
        <f>IFERROR(IF(登録一覧[[#This Row],[希望]]="","-",登録一覧[[#This Row],[希望]]&amp;登録一覧[[#This Row],[学生枠]]),"-")</f>
        <v>-</v>
      </c>
      <c r="K66" t="str">
        <f>IFERROR(ROW()+IF(登録一覧[[#This Row],[修士]]&lt;&gt;"", 0, IF(登録一覧[[#This Row],[非表示]]&lt;&gt;"",1000,10000)),"-")</f>
        <v>-</v>
      </c>
      <c r="L66">
        <f t="shared" si="0"/>
        <v>247</v>
      </c>
      <c r="M66" t="str">
        <f t="shared" si="4"/>
        <v>-247</v>
      </c>
      <c r="N6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6" t="str">
        <f>IFERROR(IF(登録一覧[[#This Row],[決定]]="yes", 登録一覧[[#This Row],[希望]], "*"), "*")</f>
        <v>*</v>
      </c>
      <c r="P66">
        <f>COUNTIF($O$7:$O66,O66)</f>
        <v>60</v>
      </c>
      <c r="Q66" t="str">
        <f t="shared" si="2"/>
        <v>*60</v>
      </c>
      <c r="R66" t="str">
        <f>IFERROR(登録一覧[[#This Row],[学籍番号]],"-")</f>
        <v>-</v>
      </c>
      <c r="S66" t="str">
        <f>IFERROR(登録一覧[[#This Row],[氏名]],"-")</f>
        <v>-</v>
      </c>
    </row>
    <row r="67" spans="10:19" x14ac:dyDescent="0.4">
      <c r="J67" t="str">
        <f>IFERROR(IF(登録一覧[[#This Row],[希望]]="","-",登録一覧[[#This Row],[希望]]&amp;登録一覧[[#This Row],[学生枠]]),"-")</f>
        <v>-</v>
      </c>
      <c r="K67" t="str">
        <f>IFERROR(ROW()+IF(登録一覧[[#This Row],[修士]]&lt;&gt;"", 0, IF(登録一覧[[#This Row],[非表示]]&lt;&gt;"",1000,10000)),"-")</f>
        <v>-</v>
      </c>
      <c r="L67">
        <f t="shared" si="0"/>
        <v>247</v>
      </c>
      <c r="M67" t="str">
        <f t="shared" si="4"/>
        <v>-247</v>
      </c>
      <c r="N6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7" t="str">
        <f>IFERROR(IF(登録一覧[[#This Row],[決定]]="yes", 登録一覧[[#This Row],[希望]], "*"), "*")</f>
        <v>*</v>
      </c>
      <c r="P67">
        <f>COUNTIF($O$7:$O67,O67)</f>
        <v>61</v>
      </c>
      <c r="Q67" t="str">
        <f t="shared" si="2"/>
        <v>*61</v>
      </c>
      <c r="R67" t="str">
        <f>IFERROR(登録一覧[[#This Row],[学籍番号]],"-")</f>
        <v>-</v>
      </c>
      <c r="S67" t="str">
        <f>IFERROR(登録一覧[[#This Row],[氏名]],"-")</f>
        <v>-</v>
      </c>
    </row>
    <row r="68" spans="10:19" x14ac:dyDescent="0.4">
      <c r="J68" t="str">
        <f>IFERROR(IF(登録一覧[[#This Row],[希望]]="","-",登録一覧[[#This Row],[希望]]&amp;登録一覧[[#This Row],[学生枠]]),"-")</f>
        <v>-</v>
      </c>
      <c r="K68" t="str">
        <f>IFERROR(ROW()+IF(登録一覧[[#This Row],[修士]]&lt;&gt;"", 0, IF(登録一覧[[#This Row],[非表示]]&lt;&gt;"",1000,10000)),"-")</f>
        <v>-</v>
      </c>
      <c r="L68">
        <f t="shared" si="0"/>
        <v>247</v>
      </c>
      <c r="M68" t="str">
        <f t="shared" si="4"/>
        <v>-247</v>
      </c>
      <c r="N6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8" t="str">
        <f>IFERROR(IF(登録一覧[[#This Row],[決定]]="yes", 登録一覧[[#This Row],[希望]], "*"), "*")</f>
        <v>*</v>
      </c>
      <c r="P68">
        <f>COUNTIF($O$7:$O68,O68)</f>
        <v>62</v>
      </c>
      <c r="Q68" t="str">
        <f t="shared" si="2"/>
        <v>*62</v>
      </c>
      <c r="R68" t="str">
        <f>IFERROR(登録一覧[[#This Row],[学籍番号]],"-")</f>
        <v>-</v>
      </c>
      <c r="S68" t="str">
        <f>IFERROR(登録一覧[[#This Row],[氏名]],"-")</f>
        <v>-</v>
      </c>
    </row>
    <row r="69" spans="10:19" x14ac:dyDescent="0.4">
      <c r="J69" t="str">
        <f>IFERROR(IF(登録一覧[[#This Row],[希望]]="","-",登録一覧[[#This Row],[希望]]&amp;登録一覧[[#This Row],[学生枠]]),"-")</f>
        <v>-</v>
      </c>
      <c r="K69" t="str">
        <f>IFERROR(ROW()+IF(登録一覧[[#This Row],[修士]]&lt;&gt;"", 0, IF(登録一覧[[#This Row],[非表示]]&lt;&gt;"",1000,10000)),"-")</f>
        <v>-</v>
      </c>
      <c r="L69">
        <f t="shared" si="0"/>
        <v>247</v>
      </c>
      <c r="M69" t="str">
        <f t="shared" si="4"/>
        <v>-247</v>
      </c>
      <c r="N6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9" t="str">
        <f>IFERROR(IF(登録一覧[[#This Row],[決定]]="yes", 登録一覧[[#This Row],[希望]], "*"), "*")</f>
        <v>*</v>
      </c>
      <c r="P69">
        <f>COUNTIF($O$7:$O69,O69)</f>
        <v>63</v>
      </c>
      <c r="Q69" t="str">
        <f t="shared" si="2"/>
        <v>*63</v>
      </c>
      <c r="R69" t="str">
        <f>IFERROR(登録一覧[[#This Row],[学籍番号]],"-")</f>
        <v>-</v>
      </c>
      <c r="S69" t="str">
        <f>IFERROR(登録一覧[[#This Row],[氏名]],"-")</f>
        <v>-</v>
      </c>
    </row>
    <row r="70" spans="10:19" x14ac:dyDescent="0.4">
      <c r="J70" t="str">
        <f>IFERROR(IF(登録一覧[[#This Row],[希望]]="","-",登録一覧[[#This Row],[希望]]&amp;登録一覧[[#This Row],[学生枠]]),"-")</f>
        <v>-</v>
      </c>
      <c r="K70" t="str">
        <f>IFERROR(ROW()+IF(登録一覧[[#This Row],[修士]]&lt;&gt;"", 0, IF(登録一覧[[#This Row],[非表示]]&lt;&gt;"",1000,10000)),"-")</f>
        <v>-</v>
      </c>
      <c r="L70">
        <f t="shared" si="0"/>
        <v>247</v>
      </c>
      <c r="M70" t="str">
        <f t="shared" si="4"/>
        <v>-247</v>
      </c>
      <c r="N7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0" t="str">
        <f>IFERROR(IF(登録一覧[[#This Row],[決定]]="yes", 登録一覧[[#This Row],[希望]], "*"), "*")</f>
        <v>*</v>
      </c>
      <c r="P70">
        <f>COUNTIF($O$7:$O70,O70)</f>
        <v>64</v>
      </c>
      <c r="Q70" t="str">
        <f t="shared" si="2"/>
        <v>*64</v>
      </c>
      <c r="R70" t="str">
        <f>IFERROR(登録一覧[[#This Row],[学籍番号]],"-")</f>
        <v>-</v>
      </c>
      <c r="S70" t="str">
        <f>IFERROR(登録一覧[[#This Row],[氏名]],"-")</f>
        <v>-</v>
      </c>
    </row>
    <row r="71" spans="10:19" x14ac:dyDescent="0.4">
      <c r="J71" t="str">
        <f>IFERROR(IF(登録一覧[[#This Row],[希望]]="","-",登録一覧[[#This Row],[希望]]&amp;登録一覧[[#This Row],[学生枠]]),"-")</f>
        <v>-</v>
      </c>
      <c r="K71" t="str">
        <f>IFERROR(ROW()+IF(登録一覧[[#This Row],[修士]]&lt;&gt;"", 0, IF(登録一覧[[#This Row],[非表示]]&lt;&gt;"",1000,10000)),"-")</f>
        <v>-</v>
      </c>
      <c r="L71">
        <f t="shared" si="0"/>
        <v>247</v>
      </c>
      <c r="M71" t="str">
        <f t="shared" si="4"/>
        <v>-247</v>
      </c>
      <c r="N7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1" t="str">
        <f>IFERROR(IF(登録一覧[[#This Row],[決定]]="yes", 登録一覧[[#This Row],[希望]], "*"), "*")</f>
        <v>*</v>
      </c>
      <c r="P71">
        <f>COUNTIF($O$7:$O71,O71)</f>
        <v>65</v>
      </c>
      <c r="Q71" t="str">
        <f t="shared" si="2"/>
        <v>*65</v>
      </c>
      <c r="R71" t="str">
        <f>IFERROR(登録一覧[[#This Row],[学籍番号]],"-")</f>
        <v>-</v>
      </c>
      <c r="S71" t="str">
        <f>IFERROR(登録一覧[[#This Row],[氏名]],"-")</f>
        <v>-</v>
      </c>
    </row>
    <row r="72" spans="10:19" x14ac:dyDescent="0.4">
      <c r="J72" t="str">
        <f>IFERROR(IF(登録一覧[[#This Row],[希望]]="","-",登録一覧[[#This Row],[希望]]&amp;登録一覧[[#This Row],[学生枠]]),"-")</f>
        <v>-</v>
      </c>
      <c r="K72" t="str">
        <f>IFERROR(ROW()+IF(登録一覧[[#This Row],[修士]]&lt;&gt;"", 0, IF(登録一覧[[#This Row],[非表示]]&lt;&gt;"",1000,10000)),"-")</f>
        <v>-</v>
      </c>
      <c r="L72">
        <f t="shared" ref="L72:L135" si="5">COUNTIFS($J$7:$J$256,J72,$K$7:$K$256,"&lt;="&amp;K72)</f>
        <v>247</v>
      </c>
      <c r="M72" t="str">
        <f t="shared" si="4"/>
        <v>-247</v>
      </c>
      <c r="N7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2" t="str">
        <f>IFERROR(IF(登録一覧[[#This Row],[決定]]="yes", 登録一覧[[#This Row],[希望]], "*"), "*")</f>
        <v>*</v>
      </c>
      <c r="P72">
        <f>COUNTIF($O$7:$O72,O72)</f>
        <v>66</v>
      </c>
      <c r="Q72" t="str">
        <f t="shared" ref="Q72:Q135" si="6">O72&amp;P72</f>
        <v>*66</v>
      </c>
      <c r="R72" t="str">
        <f>IFERROR(登録一覧[[#This Row],[学籍番号]],"-")</f>
        <v>-</v>
      </c>
      <c r="S72" t="str">
        <f>IFERROR(登録一覧[[#This Row],[氏名]],"-")</f>
        <v>-</v>
      </c>
    </row>
    <row r="73" spans="10:19" x14ac:dyDescent="0.4">
      <c r="J73" t="str">
        <f>IFERROR(IF(登録一覧[[#This Row],[希望]]="","-",登録一覧[[#This Row],[希望]]&amp;登録一覧[[#This Row],[学生枠]]),"-")</f>
        <v>-</v>
      </c>
      <c r="K73" t="str">
        <f>IFERROR(ROW()+IF(登録一覧[[#This Row],[修士]]&lt;&gt;"", 0, IF(登録一覧[[#This Row],[非表示]]&lt;&gt;"",1000,10000)),"-")</f>
        <v>-</v>
      </c>
      <c r="L73">
        <f t="shared" si="5"/>
        <v>247</v>
      </c>
      <c r="M73" t="str">
        <f t="shared" si="4"/>
        <v>-247</v>
      </c>
      <c r="N7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3" t="str">
        <f>IFERROR(IF(登録一覧[[#This Row],[決定]]="yes", 登録一覧[[#This Row],[希望]], "*"), "*")</f>
        <v>*</v>
      </c>
      <c r="P73">
        <f>COUNTIF($O$7:$O73,O73)</f>
        <v>67</v>
      </c>
      <c r="Q73" t="str">
        <f t="shared" si="6"/>
        <v>*67</v>
      </c>
      <c r="R73" t="str">
        <f>IFERROR(登録一覧[[#This Row],[学籍番号]],"-")</f>
        <v>-</v>
      </c>
      <c r="S73" t="str">
        <f>IFERROR(登録一覧[[#This Row],[氏名]],"-")</f>
        <v>-</v>
      </c>
    </row>
    <row r="74" spans="10:19" x14ac:dyDescent="0.4">
      <c r="J74" t="str">
        <f>IFERROR(IF(登録一覧[[#This Row],[希望]]="","-",登録一覧[[#This Row],[希望]]&amp;登録一覧[[#This Row],[学生枠]]),"-")</f>
        <v>-</v>
      </c>
      <c r="K74" t="str">
        <f>IFERROR(ROW()+IF(登録一覧[[#This Row],[修士]]&lt;&gt;"", 0, IF(登録一覧[[#This Row],[非表示]]&lt;&gt;"",1000,10000)),"-")</f>
        <v>-</v>
      </c>
      <c r="L74">
        <f t="shared" si="5"/>
        <v>247</v>
      </c>
      <c r="M74" t="str">
        <f t="shared" si="4"/>
        <v>-247</v>
      </c>
      <c r="N7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4" t="str">
        <f>IFERROR(IF(登録一覧[[#This Row],[決定]]="yes", 登録一覧[[#This Row],[希望]], "*"), "*")</f>
        <v>*</v>
      </c>
      <c r="P74">
        <f>COUNTIF($O$7:$O74,O74)</f>
        <v>68</v>
      </c>
      <c r="Q74" t="str">
        <f t="shared" si="6"/>
        <v>*68</v>
      </c>
      <c r="R74" t="str">
        <f>IFERROR(登録一覧[[#This Row],[学籍番号]],"-")</f>
        <v>-</v>
      </c>
      <c r="S74" t="str">
        <f>IFERROR(登録一覧[[#This Row],[氏名]],"-")</f>
        <v>-</v>
      </c>
    </row>
    <row r="75" spans="10:19" x14ac:dyDescent="0.4">
      <c r="J75" t="str">
        <f>IFERROR(IF(登録一覧[[#This Row],[希望]]="","-",登録一覧[[#This Row],[希望]]&amp;登録一覧[[#This Row],[学生枠]]),"-")</f>
        <v>-</v>
      </c>
      <c r="K75" t="str">
        <f>IFERROR(ROW()+IF(登録一覧[[#This Row],[修士]]&lt;&gt;"", 0, IF(登録一覧[[#This Row],[非表示]]&lt;&gt;"",1000,10000)),"-")</f>
        <v>-</v>
      </c>
      <c r="L75">
        <f t="shared" si="5"/>
        <v>247</v>
      </c>
      <c r="M75" t="str">
        <f t="shared" si="4"/>
        <v>-247</v>
      </c>
      <c r="N7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5" t="str">
        <f>IFERROR(IF(登録一覧[[#This Row],[決定]]="yes", 登録一覧[[#This Row],[希望]], "*"), "*")</f>
        <v>*</v>
      </c>
      <c r="P75">
        <f>COUNTIF($O$7:$O75,O75)</f>
        <v>69</v>
      </c>
      <c r="Q75" t="str">
        <f t="shared" si="6"/>
        <v>*69</v>
      </c>
      <c r="R75" t="str">
        <f>IFERROR(登録一覧[[#This Row],[学籍番号]],"-")</f>
        <v>-</v>
      </c>
      <c r="S75" t="str">
        <f>IFERROR(登録一覧[[#This Row],[氏名]],"-")</f>
        <v>-</v>
      </c>
    </row>
    <row r="76" spans="10:19" x14ac:dyDescent="0.4">
      <c r="J76" t="str">
        <f>IFERROR(IF(登録一覧[[#This Row],[希望]]="","-",登録一覧[[#This Row],[希望]]&amp;登録一覧[[#This Row],[学生枠]]),"-")</f>
        <v>-</v>
      </c>
      <c r="K76" t="str">
        <f>IFERROR(ROW()+IF(登録一覧[[#This Row],[修士]]&lt;&gt;"", 0, IF(登録一覧[[#This Row],[非表示]]&lt;&gt;"",1000,10000)),"-")</f>
        <v>-</v>
      </c>
      <c r="L76">
        <f t="shared" si="5"/>
        <v>247</v>
      </c>
      <c r="M76" t="str">
        <f t="shared" si="4"/>
        <v>-247</v>
      </c>
      <c r="N7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6" t="str">
        <f>IFERROR(IF(登録一覧[[#This Row],[決定]]="yes", 登録一覧[[#This Row],[希望]], "*"), "*")</f>
        <v>*</v>
      </c>
      <c r="P76">
        <f>COUNTIF($O$7:$O76,O76)</f>
        <v>70</v>
      </c>
      <c r="Q76" t="str">
        <f t="shared" si="6"/>
        <v>*70</v>
      </c>
      <c r="R76" t="str">
        <f>IFERROR(登録一覧[[#This Row],[学籍番号]],"-")</f>
        <v>-</v>
      </c>
      <c r="S76" t="str">
        <f>IFERROR(登録一覧[[#This Row],[氏名]],"-")</f>
        <v>-</v>
      </c>
    </row>
    <row r="77" spans="10:19" x14ac:dyDescent="0.4">
      <c r="J77" t="str">
        <f>IFERROR(IF(登録一覧[[#This Row],[希望]]="","-",登録一覧[[#This Row],[希望]]&amp;登録一覧[[#This Row],[学生枠]]),"-")</f>
        <v>-</v>
      </c>
      <c r="K77" t="str">
        <f>IFERROR(ROW()+IF(登録一覧[[#This Row],[修士]]&lt;&gt;"", 0, IF(登録一覧[[#This Row],[非表示]]&lt;&gt;"",1000,10000)),"-")</f>
        <v>-</v>
      </c>
      <c r="L77">
        <f t="shared" si="5"/>
        <v>247</v>
      </c>
      <c r="M77" t="str">
        <f t="shared" si="4"/>
        <v>-247</v>
      </c>
      <c r="N7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7" t="str">
        <f>IFERROR(IF(登録一覧[[#This Row],[決定]]="yes", 登録一覧[[#This Row],[希望]], "*"), "*")</f>
        <v>*</v>
      </c>
      <c r="P77">
        <f>COUNTIF($O$7:$O77,O77)</f>
        <v>71</v>
      </c>
      <c r="Q77" t="str">
        <f t="shared" si="6"/>
        <v>*71</v>
      </c>
      <c r="R77" t="str">
        <f>IFERROR(登録一覧[[#This Row],[学籍番号]],"-")</f>
        <v>-</v>
      </c>
      <c r="S77" t="str">
        <f>IFERROR(登録一覧[[#This Row],[氏名]],"-")</f>
        <v>-</v>
      </c>
    </row>
    <row r="78" spans="10:19" x14ac:dyDescent="0.4">
      <c r="J78" t="str">
        <f>IFERROR(IF(登録一覧[[#This Row],[希望]]="","-",登録一覧[[#This Row],[希望]]&amp;登録一覧[[#This Row],[学生枠]]),"-")</f>
        <v>-</v>
      </c>
      <c r="K78" t="str">
        <f>IFERROR(ROW()+IF(登録一覧[[#This Row],[修士]]&lt;&gt;"", 0, IF(登録一覧[[#This Row],[非表示]]&lt;&gt;"",1000,10000)),"-")</f>
        <v>-</v>
      </c>
      <c r="L78">
        <f t="shared" si="5"/>
        <v>247</v>
      </c>
      <c r="M78" t="str">
        <f t="shared" si="4"/>
        <v>-247</v>
      </c>
      <c r="N7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8" t="str">
        <f>IFERROR(IF(登録一覧[[#This Row],[決定]]="yes", 登録一覧[[#This Row],[希望]], "*"), "*")</f>
        <v>*</v>
      </c>
      <c r="P78">
        <f>COUNTIF($O$7:$O78,O78)</f>
        <v>72</v>
      </c>
      <c r="Q78" t="str">
        <f t="shared" si="6"/>
        <v>*72</v>
      </c>
      <c r="R78" t="str">
        <f>IFERROR(登録一覧[[#This Row],[学籍番号]],"-")</f>
        <v>-</v>
      </c>
      <c r="S78" t="str">
        <f>IFERROR(登録一覧[[#This Row],[氏名]],"-")</f>
        <v>-</v>
      </c>
    </row>
    <row r="79" spans="10:19" x14ac:dyDescent="0.4">
      <c r="J79" t="str">
        <f>IFERROR(IF(登録一覧[[#This Row],[希望]]="","-",登録一覧[[#This Row],[希望]]&amp;登録一覧[[#This Row],[学生枠]]),"-")</f>
        <v>-</v>
      </c>
      <c r="K79" t="str">
        <f>IFERROR(ROW()+IF(登録一覧[[#This Row],[修士]]&lt;&gt;"", 0, IF(登録一覧[[#This Row],[非表示]]&lt;&gt;"",1000,10000)),"-")</f>
        <v>-</v>
      </c>
      <c r="L79">
        <f t="shared" si="5"/>
        <v>247</v>
      </c>
      <c r="M79" t="str">
        <f t="shared" si="4"/>
        <v>-247</v>
      </c>
      <c r="N7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9" t="str">
        <f>IFERROR(IF(登録一覧[[#This Row],[決定]]="yes", 登録一覧[[#This Row],[希望]], "*"), "*")</f>
        <v>*</v>
      </c>
      <c r="P79">
        <f>COUNTIF($O$7:$O79,O79)</f>
        <v>73</v>
      </c>
      <c r="Q79" t="str">
        <f t="shared" si="6"/>
        <v>*73</v>
      </c>
      <c r="R79" t="str">
        <f>IFERROR(登録一覧[[#This Row],[学籍番号]],"-")</f>
        <v>-</v>
      </c>
      <c r="S79" t="str">
        <f>IFERROR(登録一覧[[#This Row],[氏名]],"-")</f>
        <v>-</v>
      </c>
    </row>
    <row r="80" spans="10:19" x14ac:dyDescent="0.4">
      <c r="J80" t="str">
        <f>IFERROR(IF(登録一覧[[#This Row],[希望]]="","-",登録一覧[[#This Row],[希望]]&amp;登録一覧[[#This Row],[学生枠]]),"-")</f>
        <v>-</v>
      </c>
      <c r="K80" t="str">
        <f>IFERROR(ROW()+IF(登録一覧[[#This Row],[修士]]&lt;&gt;"", 0, IF(登録一覧[[#This Row],[非表示]]&lt;&gt;"",1000,10000)),"-")</f>
        <v>-</v>
      </c>
      <c r="L80">
        <f t="shared" si="5"/>
        <v>247</v>
      </c>
      <c r="M80" t="str">
        <f t="shared" si="4"/>
        <v>-247</v>
      </c>
      <c r="N8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0" t="str">
        <f>IFERROR(IF(登録一覧[[#This Row],[決定]]="yes", 登録一覧[[#This Row],[希望]], "*"), "*")</f>
        <v>*</v>
      </c>
      <c r="P80">
        <f>COUNTIF($O$7:$O80,O80)</f>
        <v>74</v>
      </c>
      <c r="Q80" t="str">
        <f t="shared" si="6"/>
        <v>*74</v>
      </c>
      <c r="R80" t="str">
        <f>IFERROR(登録一覧[[#This Row],[学籍番号]],"-")</f>
        <v>-</v>
      </c>
      <c r="S80" t="str">
        <f>IFERROR(登録一覧[[#This Row],[氏名]],"-")</f>
        <v>-</v>
      </c>
    </row>
    <row r="81" spans="10:19" x14ac:dyDescent="0.4">
      <c r="J81" t="str">
        <f>IFERROR(IF(登録一覧[[#This Row],[希望]]="","-",登録一覧[[#This Row],[希望]]&amp;登録一覧[[#This Row],[学生枠]]),"-")</f>
        <v>-</v>
      </c>
      <c r="K81" t="str">
        <f>IFERROR(ROW()+IF(登録一覧[[#This Row],[修士]]&lt;&gt;"", 0, IF(登録一覧[[#This Row],[非表示]]&lt;&gt;"",1000,10000)),"-")</f>
        <v>-</v>
      </c>
      <c r="L81">
        <f t="shared" si="5"/>
        <v>247</v>
      </c>
      <c r="M81" t="str">
        <f t="shared" si="4"/>
        <v>-247</v>
      </c>
      <c r="N8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1" t="str">
        <f>IFERROR(IF(登録一覧[[#This Row],[決定]]="yes", 登録一覧[[#This Row],[希望]], "*"), "*")</f>
        <v>*</v>
      </c>
      <c r="P81">
        <f>COUNTIF($O$7:$O81,O81)</f>
        <v>75</v>
      </c>
      <c r="Q81" t="str">
        <f t="shared" si="6"/>
        <v>*75</v>
      </c>
      <c r="R81" t="str">
        <f>IFERROR(登録一覧[[#This Row],[学籍番号]],"-")</f>
        <v>-</v>
      </c>
      <c r="S81" t="str">
        <f>IFERROR(登録一覧[[#This Row],[氏名]],"-")</f>
        <v>-</v>
      </c>
    </row>
    <row r="82" spans="10:19" x14ac:dyDescent="0.4">
      <c r="J82" t="str">
        <f>IFERROR(IF(登録一覧[[#This Row],[希望]]="","-",登録一覧[[#This Row],[希望]]&amp;登録一覧[[#This Row],[学生枠]]),"-")</f>
        <v>-</v>
      </c>
      <c r="K82" t="str">
        <f>IFERROR(ROW()+IF(登録一覧[[#This Row],[修士]]&lt;&gt;"", 0, IF(登録一覧[[#This Row],[非表示]]&lt;&gt;"",1000,10000)),"-")</f>
        <v>-</v>
      </c>
      <c r="L82">
        <f t="shared" si="5"/>
        <v>247</v>
      </c>
      <c r="M82" t="str">
        <f t="shared" si="4"/>
        <v>-247</v>
      </c>
      <c r="N8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2" t="str">
        <f>IFERROR(IF(登録一覧[[#This Row],[決定]]="yes", 登録一覧[[#This Row],[希望]], "*"), "*")</f>
        <v>*</v>
      </c>
      <c r="P82">
        <f>COUNTIF($O$7:$O82,O82)</f>
        <v>76</v>
      </c>
      <c r="Q82" t="str">
        <f t="shared" si="6"/>
        <v>*76</v>
      </c>
      <c r="R82" t="str">
        <f>IFERROR(登録一覧[[#This Row],[学籍番号]],"-")</f>
        <v>-</v>
      </c>
      <c r="S82" t="str">
        <f>IFERROR(登録一覧[[#This Row],[氏名]],"-")</f>
        <v>-</v>
      </c>
    </row>
    <row r="83" spans="10:19" x14ac:dyDescent="0.4">
      <c r="J83" t="str">
        <f>IFERROR(IF(登録一覧[[#This Row],[希望]]="","-",登録一覧[[#This Row],[希望]]&amp;登録一覧[[#This Row],[学生枠]]),"-")</f>
        <v>-</v>
      </c>
      <c r="K83" t="str">
        <f>IFERROR(ROW()+IF(登録一覧[[#This Row],[修士]]&lt;&gt;"", 0, IF(登録一覧[[#This Row],[非表示]]&lt;&gt;"",1000,10000)),"-")</f>
        <v>-</v>
      </c>
      <c r="L83">
        <f t="shared" si="5"/>
        <v>247</v>
      </c>
      <c r="M83" t="str">
        <f t="shared" si="4"/>
        <v>-247</v>
      </c>
      <c r="N8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3" t="str">
        <f>IFERROR(IF(登録一覧[[#This Row],[決定]]="yes", 登録一覧[[#This Row],[希望]], "*"), "*")</f>
        <v>*</v>
      </c>
      <c r="P83">
        <f>COUNTIF($O$7:$O83,O83)</f>
        <v>77</v>
      </c>
      <c r="Q83" t="str">
        <f t="shared" si="6"/>
        <v>*77</v>
      </c>
      <c r="R83" t="str">
        <f>IFERROR(登録一覧[[#This Row],[学籍番号]],"-")</f>
        <v>-</v>
      </c>
      <c r="S83" t="str">
        <f>IFERROR(登録一覧[[#This Row],[氏名]],"-")</f>
        <v>-</v>
      </c>
    </row>
    <row r="84" spans="10:19" x14ac:dyDescent="0.4">
      <c r="J84" t="str">
        <f>IFERROR(IF(登録一覧[[#This Row],[希望]]="","-",登録一覧[[#This Row],[希望]]&amp;登録一覧[[#This Row],[学生枠]]),"-")</f>
        <v>-</v>
      </c>
      <c r="K84" t="str">
        <f>IFERROR(ROW()+IF(登録一覧[[#This Row],[修士]]&lt;&gt;"", 0, IF(登録一覧[[#This Row],[非表示]]&lt;&gt;"",1000,10000)),"-")</f>
        <v>-</v>
      </c>
      <c r="L84">
        <f t="shared" si="5"/>
        <v>247</v>
      </c>
      <c r="M84" t="str">
        <f t="shared" si="4"/>
        <v>-247</v>
      </c>
      <c r="N8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4" t="str">
        <f>IFERROR(IF(登録一覧[[#This Row],[決定]]="yes", 登録一覧[[#This Row],[希望]], "*"), "*")</f>
        <v>*</v>
      </c>
      <c r="P84">
        <f>COUNTIF($O$7:$O84,O84)</f>
        <v>78</v>
      </c>
      <c r="Q84" t="str">
        <f t="shared" si="6"/>
        <v>*78</v>
      </c>
      <c r="R84" t="str">
        <f>IFERROR(登録一覧[[#This Row],[学籍番号]],"-")</f>
        <v>-</v>
      </c>
      <c r="S84" t="str">
        <f>IFERROR(登録一覧[[#This Row],[氏名]],"-")</f>
        <v>-</v>
      </c>
    </row>
    <row r="85" spans="10:19" x14ac:dyDescent="0.4">
      <c r="J85" t="str">
        <f>IFERROR(IF(登録一覧[[#This Row],[希望]]="","-",登録一覧[[#This Row],[希望]]&amp;登録一覧[[#This Row],[学生枠]]),"-")</f>
        <v>-</v>
      </c>
      <c r="K85" t="str">
        <f>IFERROR(ROW()+IF(登録一覧[[#This Row],[修士]]&lt;&gt;"", 0, IF(登録一覧[[#This Row],[非表示]]&lt;&gt;"",1000,10000)),"-")</f>
        <v>-</v>
      </c>
      <c r="L85">
        <f t="shared" si="5"/>
        <v>247</v>
      </c>
      <c r="M85" t="str">
        <f t="shared" si="4"/>
        <v>-247</v>
      </c>
      <c r="N8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5" t="str">
        <f>IFERROR(IF(登録一覧[[#This Row],[決定]]="yes", 登録一覧[[#This Row],[希望]], "*"), "*")</f>
        <v>*</v>
      </c>
      <c r="P85">
        <f>COUNTIF($O$7:$O85,O85)</f>
        <v>79</v>
      </c>
      <c r="Q85" t="str">
        <f t="shared" si="6"/>
        <v>*79</v>
      </c>
      <c r="R85" t="str">
        <f>IFERROR(登録一覧[[#This Row],[学籍番号]],"-")</f>
        <v>-</v>
      </c>
      <c r="S85" t="str">
        <f>IFERROR(登録一覧[[#This Row],[氏名]],"-")</f>
        <v>-</v>
      </c>
    </row>
    <row r="86" spans="10:19" x14ac:dyDescent="0.4">
      <c r="J86" t="str">
        <f>IFERROR(IF(登録一覧[[#This Row],[希望]]="","-",登録一覧[[#This Row],[希望]]&amp;登録一覧[[#This Row],[学生枠]]),"-")</f>
        <v>-</v>
      </c>
      <c r="K86" t="str">
        <f>IFERROR(ROW()+IF(登録一覧[[#This Row],[修士]]&lt;&gt;"", 0, IF(登録一覧[[#This Row],[非表示]]&lt;&gt;"",1000,10000)),"-")</f>
        <v>-</v>
      </c>
      <c r="L86">
        <f t="shared" si="5"/>
        <v>247</v>
      </c>
      <c r="M86" t="str">
        <f t="shared" si="4"/>
        <v>-247</v>
      </c>
      <c r="N8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6" t="str">
        <f>IFERROR(IF(登録一覧[[#This Row],[決定]]="yes", 登録一覧[[#This Row],[希望]], "*"), "*")</f>
        <v>*</v>
      </c>
      <c r="P86">
        <f>COUNTIF($O$7:$O86,O86)</f>
        <v>80</v>
      </c>
      <c r="Q86" t="str">
        <f t="shared" si="6"/>
        <v>*80</v>
      </c>
      <c r="R86" t="str">
        <f>IFERROR(登録一覧[[#This Row],[学籍番号]],"-")</f>
        <v>-</v>
      </c>
      <c r="S86" t="str">
        <f>IFERROR(登録一覧[[#This Row],[氏名]],"-")</f>
        <v>-</v>
      </c>
    </row>
    <row r="87" spans="10:19" x14ac:dyDescent="0.4">
      <c r="J87" t="str">
        <f>IFERROR(IF(登録一覧[[#This Row],[希望]]="","-",登録一覧[[#This Row],[希望]]&amp;登録一覧[[#This Row],[学生枠]]),"-")</f>
        <v>-</v>
      </c>
      <c r="K87" t="str">
        <f>IFERROR(ROW()+IF(登録一覧[[#This Row],[修士]]&lt;&gt;"", 0, IF(登録一覧[[#This Row],[非表示]]&lt;&gt;"",1000,10000)),"-")</f>
        <v>-</v>
      </c>
      <c r="L87">
        <f t="shared" si="5"/>
        <v>247</v>
      </c>
      <c r="M87" t="str">
        <f t="shared" si="4"/>
        <v>-247</v>
      </c>
      <c r="N8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7" t="str">
        <f>IFERROR(IF(登録一覧[[#This Row],[決定]]="yes", 登録一覧[[#This Row],[希望]], "*"), "*")</f>
        <v>*</v>
      </c>
      <c r="P87">
        <f>COUNTIF($O$7:$O87,O87)</f>
        <v>81</v>
      </c>
      <c r="Q87" t="str">
        <f t="shared" si="6"/>
        <v>*81</v>
      </c>
      <c r="R87" t="str">
        <f>IFERROR(登録一覧[[#This Row],[学籍番号]],"-")</f>
        <v>-</v>
      </c>
      <c r="S87" t="str">
        <f>IFERROR(登録一覧[[#This Row],[氏名]],"-")</f>
        <v>-</v>
      </c>
    </row>
    <row r="88" spans="10:19" x14ac:dyDescent="0.4">
      <c r="J88" t="str">
        <f>IFERROR(IF(登録一覧[[#This Row],[希望]]="","-",登録一覧[[#This Row],[希望]]&amp;登録一覧[[#This Row],[学生枠]]),"-")</f>
        <v>-</v>
      </c>
      <c r="K88" t="str">
        <f>IFERROR(ROW()+IF(登録一覧[[#This Row],[修士]]&lt;&gt;"", 0, IF(登録一覧[[#This Row],[非表示]]&lt;&gt;"",1000,10000)),"-")</f>
        <v>-</v>
      </c>
      <c r="L88">
        <f t="shared" si="5"/>
        <v>247</v>
      </c>
      <c r="M88" t="str">
        <f t="shared" ref="M88:M151" si="7">J88&amp;L88</f>
        <v>-247</v>
      </c>
      <c r="N8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8" t="str">
        <f>IFERROR(IF(登録一覧[[#This Row],[決定]]="yes", 登録一覧[[#This Row],[希望]], "*"), "*")</f>
        <v>*</v>
      </c>
      <c r="P88">
        <f>COUNTIF($O$7:$O88,O88)</f>
        <v>82</v>
      </c>
      <c r="Q88" t="str">
        <f t="shared" si="6"/>
        <v>*82</v>
      </c>
      <c r="R88" t="str">
        <f>IFERROR(登録一覧[[#This Row],[学籍番号]],"-")</f>
        <v>-</v>
      </c>
      <c r="S88" t="str">
        <f>IFERROR(登録一覧[[#This Row],[氏名]],"-")</f>
        <v>-</v>
      </c>
    </row>
    <row r="89" spans="10:19" x14ac:dyDescent="0.4">
      <c r="J89" t="str">
        <f>IFERROR(IF(登録一覧[[#This Row],[希望]]="","-",登録一覧[[#This Row],[希望]]&amp;登録一覧[[#This Row],[学生枠]]),"-")</f>
        <v>-</v>
      </c>
      <c r="K89" t="str">
        <f>IFERROR(ROW()+IF(登録一覧[[#This Row],[修士]]&lt;&gt;"", 0, IF(登録一覧[[#This Row],[非表示]]&lt;&gt;"",1000,10000)),"-")</f>
        <v>-</v>
      </c>
      <c r="L89">
        <f t="shared" si="5"/>
        <v>247</v>
      </c>
      <c r="M89" t="str">
        <f t="shared" si="7"/>
        <v>-247</v>
      </c>
      <c r="N8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9" t="str">
        <f>IFERROR(IF(登録一覧[[#This Row],[決定]]="yes", 登録一覧[[#This Row],[希望]], "*"), "*")</f>
        <v>*</v>
      </c>
      <c r="P89">
        <f>COUNTIF($O$7:$O89,O89)</f>
        <v>83</v>
      </c>
      <c r="Q89" t="str">
        <f t="shared" si="6"/>
        <v>*83</v>
      </c>
      <c r="R89" t="str">
        <f>IFERROR(登録一覧[[#This Row],[学籍番号]],"-")</f>
        <v>-</v>
      </c>
      <c r="S89" t="str">
        <f>IFERROR(登録一覧[[#This Row],[氏名]],"-")</f>
        <v>-</v>
      </c>
    </row>
    <row r="90" spans="10:19" x14ac:dyDescent="0.4">
      <c r="J90" t="str">
        <f>IFERROR(IF(登録一覧[[#This Row],[希望]]="","-",登録一覧[[#This Row],[希望]]&amp;登録一覧[[#This Row],[学生枠]]),"-")</f>
        <v>-</v>
      </c>
      <c r="K90" t="str">
        <f>IFERROR(ROW()+IF(登録一覧[[#This Row],[修士]]&lt;&gt;"", 0, IF(登録一覧[[#This Row],[非表示]]&lt;&gt;"",1000,10000)),"-")</f>
        <v>-</v>
      </c>
      <c r="L90">
        <f t="shared" si="5"/>
        <v>247</v>
      </c>
      <c r="M90" t="str">
        <f t="shared" si="7"/>
        <v>-247</v>
      </c>
      <c r="N9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0" t="str">
        <f>IFERROR(IF(登録一覧[[#This Row],[決定]]="yes", 登録一覧[[#This Row],[希望]], "*"), "*")</f>
        <v>*</v>
      </c>
      <c r="P90">
        <f>COUNTIF($O$7:$O90,O90)</f>
        <v>84</v>
      </c>
      <c r="Q90" t="str">
        <f t="shared" si="6"/>
        <v>*84</v>
      </c>
      <c r="R90" t="str">
        <f>IFERROR(登録一覧[[#This Row],[学籍番号]],"-")</f>
        <v>-</v>
      </c>
      <c r="S90" t="str">
        <f>IFERROR(登録一覧[[#This Row],[氏名]],"-")</f>
        <v>-</v>
      </c>
    </row>
    <row r="91" spans="10:19" x14ac:dyDescent="0.4">
      <c r="J91" t="str">
        <f>IFERROR(IF(登録一覧[[#This Row],[希望]]="","-",登録一覧[[#This Row],[希望]]&amp;登録一覧[[#This Row],[学生枠]]),"-")</f>
        <v>-</v>
      </c>
      <c r="K91" t="str">
        <f>IFERROR(ROW()+IF(登録一覧[[#This Row],[修士]]&lt;&gt;"", 0, IF(登録一覧[[#This Row],[非表示]]&lt;&gt;"",1000,10000)),"-")</f>
        <v>-</v>
      </c>
      <c r="L91">
        <f t="shared" si="5"/>
        <v>247</v>
      </c>
      <c r="M91" t="str">
        <f t="shared" si="7"/>
        <v>-247</v>
      </c>
      <c r="N9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1" t="str">
        <f>IFERROR(IF(登録一覧[[#This Row],[決定]]="yes", 登録一覧[[#This Row],[希望]], "*"), "*")</f>
        <v>*</v>
      </c>
      <c r="P91">
        <f>COUNTIF($O$7:$O91,O91)</f>
        <v>85</v>
      </c>
      <c r="Q91" t="str">
        <f t="shared" si="6"/>
        <v>*85</v>
      </c>
      <c r="R91" t="str">
        <f>IFERROR(登録一覧[[#This Row],[学籍番号]],"-")</f>
        <v>-</v>
      </c>
      <c r="S91" t="str">
        <f>IFERROR(登録一覧[[#This Row],[氏名]],"-")</f>
        <v>-</v>
      </c>
    </row>
    <row r="92" spans="10:19" x14ac:dyDescent="0.4">
      <c r="J92" t="str">
        <f>IFERROR(IF(登録一覧[[#This Row],[希望]]="","-",登録一覧[[#This Row],[希望]]&amp;登録一覧[[#This Row],[学生枠]]),"-")</f>
        <v>-</v>
      </c>
      <c r="K92" t="str">
        <f>IFERROR(ROW()+IF(登録一覧[[#This Row],[修士]]&lt;&gt;"", 0, IF(登録一覧[[#This Row],[非表示]]&lt;&gt;"",1000,10000)),"-")</f>
        <v>-</v>
      </c>
      <c r="L92">
        <f t="shared" si="5"/>
        <v>247</v>
      </c>
      <c r="M92" t="str">
        <f t="shared" si="7"/>
        <v>-247</v>
      </c>
      <c r="N9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2" t="str">
        <f>IFERROR(IF(登録一覧[[#This Row],[決定]]="yes", 登録一覧[[#This Row],[希望]], "*"), "*")</f>
        <v>*</v>
      </c>
      <c r="P92">
        <f>COUNTIF($O$7:$O92,O92)</f>
        <v>86</v>
      </c>
      <c r="Q92" t="str">
        <f t="shared" si="6"/>
        <v>*86</v>
      </c>
      <c r="R92" t="str">
        <f>IFERROR(登録一覧[[#This Row],[学籍番号]],"-")</f>
        <v>-</v>
      </c>
      <c r="S92" t="str">
        <f>IFERROR(登録一覧[[#This Row],[氏名]],"-")</f>
        <v>-</v>
      </c>
    </row>
    <row r="93" spans="10:19" x14ac:dyDescent="0.4">
      <c r="J93" t="str">
        <f>IFERROR(IF(登録一覧[[#This Row],[希望]]="","-",登録一覧[[#This Row],[希望]]&amp;登録一覧[[#This Row],[学生枠]]),"-")</f>
        <v>-</v>
      </c>
      <c r="K93" t="str">
        <f>IFERROR(ROW()+IF(登録一覧[[#This Row],[修士]]&lt;&gt;"", 0, IF(登録一覧[[#This Row],[非表示]]&lt;&gt;"",1000,10000)),"-")</f>
        <v>-</v>
      </c>
      <c r="L93">
        <f t="shared" si="5"/>
        <v>247</v>
      </c>
      <c r="M93" t="str">
        <f t="shared" si="7"/>
        <v>-247</v>
      </c>
      <c r="N9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3" t="str">
        <f>IFERROR(IF(登録一覧[[#This Row],[決定]]="yes", 登録一覧[[#This Row],[希望]], "*"), "*")</f>
        <v>*</v>
      </c>
      <c r="P93">
        <f>COUNTIF($O$7:$O93,O93)</f>
        <v>87</v>
      </c>
      <c r="Q93" t="str">
        <f t="shared" si="6"/>
        <v>*87</v>
      </c>
      <c r="R93" t="str">
        <f>IFERROR(登録一覧[[#This Row],[学籍番号]],"-")</f>
        <v>-</v>
      </c>
      <c r="S93" t="str">
        <f>IFERROR(登録一覧[[#This Row],[氏名]],"-")</f>
        <v>-</v>
      </c>
    </row>
    <row r="94" spans="10:19" x14ac:dyDescent="0.4">
      <c r="J94" t="str">
        <f>IFERROR(IF(登録一覧[[#This Row],[希望]]="","-",登録一覧[[#This Row],[希望]]&amp;登録一覧[[#This Row],[学生枠]]),"-")</f>
        <v>-</v>
      </c>
      <c r="K94" t="str">
        <f>IFERROR(ROW()+IF(登録一覧[[#This Row],[修士]]&lt;&gt;"", 0, IF(登録一覧[[#This Row],[非表示]]&lt;&gt;"",1000,10000)),"-")</f>
        <v>-</v>
      </c>
      <c r="L94">
        <f t="shared" si="5"/>
        <v>247</v>
      </c>
      <c r="M94" t="str">
        <f t="shared" si="7"/>
        <v>-247</v>
      </c>
      <c r="N9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4" t="str">
        <f>IFERROR(IF(登録一覧[[#This Row],[決定]]="yes", 登録一覧[[#This Row],[希望]], "*"), "*")</f>
        <v>*</v>
      </c>
      <c r="P94">
        <f>COUNTIF($O$7:$O94,O94)</f>
        <v>88</v>
      </c>
      <c r="Q94" t="str">
        <f t="shared" si="6"/>
        <v>*88</v>
      </c>
      <c r="R94" t="str">
        <f>IFERROR(登録一覧[[#This Row],[学籍番号]],"-")</f>
        <v>-</v>
      </c>
      <c r="S94" t="str">
        <f>IFERROR(登録一覧[[#This Row],[氏名]],"-")</f>
        <v>-</v>
      </c>
    </row>
    <row r="95" spans="10:19" x14ac:dyDescent="0.4">
      <c r="J95" t="str">
        <f>IFERROR(IF(登録一覧[[#This Row],[希望]]="","-",登録一覧[[#This Row],[希望]]&amp;登録一覧[[#This Row],[学生枠]]),"-")</f>
        <v>-</v>
      </c>
      <c r="K95" t="str">
        <f>IFERROR(ROW()+IF(登録一覧[[#This Row],[修士]]&lt;&gt;"", 0, IF(登録一覧[[#This Row],[非表示]]&lt;&gt;"",1000,10000)),"-")</f>
        <v>-</v>
      </c>
      <c r="L95">
        <f t="shared" si="5"/>
        <v>247</v>
      </c>
      <c r="M95" t="str">
        <f t="shared" si="7"/>
        <v>-247</v>
      </c>
      <c r="N9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5" t="str">
        <f>IFERROR(IF(登録一覧[[#This Row],[決定]]="yes", 登録一覧[[#This Row],[希望]], "*"), "*")</f>
        <v>*</v>
      </c>
      <c r="P95">
        <f>COUNTIF($O$7:$O95,O95)</f>
        <v>89</v>
      </c>
      <c r="Q95" t="str">
        <f t="shared" si="6"/>
        <v>*89</v>
      </c>
      <c r="R95" t="str">
        <f>IFERROR(登録一覧[[#This Row],[学籍番号]],"-")</f>
        <v>-</v>
      </c>
      <c r="S95" t="str">
        <f>IFERROR(登録一覧[[#This Row],[氏名]],"-")</f>
        <v>-</v>
      </c>
    </row>
    <row r="96" spans="10:19" x14ac:dyDescent="0.4">
      <c r="J96" t="str">
        <f>IFERROR(IF(登録一覧[[#This Row],[希望]]="","-",登録一覧[[#This Row],[希望]]&amp;登録一覧[[#This Row],[学生枠]]),"-")</f>
        <v>-</v>
      </c>
      <c r="K96" t="str">
        <f>IFERROR(ROW()+IF(登録一覧[[#This Row],[修士]]&lt;&gt;"", 0, IF(登録一覧[[#This Row],[非表示]]&lt;&gt;"",1000,10000)),"-")</f>
        <v>-</v>
      </c>
      <c r="L96">
        <f t="shared" si="5"/>
        <v>247</v>
      </c>
      <c r="M96" t="str">
        <f t="shared" si="7"/>
        <v>-247</v>
      </c>
      <c r="N9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6" t="str">
        <f>IFERROR(IF(登録一覧[[#This Row],[決定]]="yes", 登録一覧[[#This Row],[希望]], "*"), "*")</f>
        <v>*</v>
      </c>
      <c r="P96">
        <f>COUNTIF($O$7:$O96,O96)</f>
        <v>90</v>
      </c>
      <c r="Q96" t="str">
        <f t="shared" si="6"/>
        <v>*90</v>
      </c>
      <c r="R96" t="str">
        <f>IFERROR(登録一覧[[#This Row],[学籍番号]],"-")</f>
        <v>-</v>
      </c>
      <c r="S96" t="str">
        <f>IFERROR(登録一覧[[#This Row],[氏名]],"-")</f>
        <v>-</v>
      </c>
    </row>
    <row r="97" spans="10:19" x14ac:dyDescent="0.4">
      <c r="J97" t="str">
        <f>IFERROR(IF(登録一覧[[#This Row],[希望]]="","-",登録一覧[[#This Row],[希望]]&amp;登録一覧[[#This Row],[学生枠]]),"-")</f>
        <v>-</v>
      </c>
      <c r="K97" t="str">
        <f>IFERROR(ROW()+IF(登録一覧[[#This Row],[修士]]&lt;&gt;"", 0, IF(登録一覧[[#This Row],[非表示]]&lt;&gt;"",1000,10000)),"-")</f>
        <v>-</v>
      </c>
      <c r="L97">
        <f t="shared" si="5"/>
        <v>247</v>
      </c>
      <c r="M97" t="str">
        <f t="shared" si="7"/>
        <v>-247</v>
      </c>
      <c r="N9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7" t="str">
        <f>IFERROR(IF(登録一覧[[#This Row],[決定]]="yes", 登録一覧[[#This Row],[希望]], "*"), "*")</f>
        <v>*</v>
      </c>
      <c r="P97">
        <f>COUNTIF($O$7:$O97,O97)</f>
        <v>91</v>
      </c>
      <c r="Q97" t="str">
        <f t="shared" si="6"/>
        <v>*91</v>
      </c>
      <c r="R97" t="str">
        <f>IFERROR(登録一覧[[#This Row],[学籍番号]],"-")</f>
        <v>-</v>
      </c>
      <c r="S97" t="str">
        <f>IFERROR(登録一覧[[#This Row],[氏名]],"-")</f>
        <v>-</v>
      </c>
    </row>
    <row r="98" spans="10:19" x14ac:dyDescent="0.4">
      <c r="J98" t="str">
        <f>IFERROR(IF(登録一覧[[#This Row],[希望]]="","-",登録一覧[[#This Row],[希望]]&amp;登録一覧[[#This Row],[学生枠]]),"-")</f>
        <v>-</v>
      </c>
      <c r="K98" t="str">
        <f>IFERROR(ROW()+IF(登録一覧[[#This Row],[修士]]&lt;&gt;"", 0, IF(登録一覧[[#This Row],[非表示]]&lt;&gt;"",1000,10000)),"-")</f>
        <v>-</v>
      </c>
      <c r="L98">
        <f t="shared" si="5"/>
        <v>247</v>
      </c>
      <c r="M98" t="str">
        <f t="shared" si="7"/>
        <v>-247</v>
      </c>
      <c r="N9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8" t="str">
        <f>IFERROR(IF(登録一覧[[#This Row],[決定]]="yes", 登録一覧[[#This Row],[希望]], "*"), "*")</f>
        <v>*</v>
      </c>
      <c r="P98">
        <f>COUNTIF($O$7:$O98,O98)</f>
        <v>92</v>
      </c>
      <c r="Q98" t="str">
        <f t="shared" si="6"/>
        <v>*92</v>
      </c>
      <c r="R98" t="str">
        <f>IFERROR(登録一覧[[#This Row],[学籍番号]],"-")</f>
        <v>-</v>
      </c>
      <c r="S98" t="str">
        <f>IFERROR(登録一覧[[#This Row],[氏名]],"-")</f>
        <v>-</v>
      </c>
    </row>
    <row r="99" spans="10:19" x14ac:dyDescent="0.4">
      <c r="J99" t="str">
        <f>IFERROR(IF(登録一覧[[#This Row],[希望]]="","-",登録一覧[[#This Row],[希望]]&amp;登録一覧[[#This Row],[学生枠]]),"-")</f>
        <v>-</v>
      </c>
      <c r="K99" t="str">
        <f>IFERROR(ROW()+IF(登録一覧[[#This Row],[修士]]&lt;&gt;"", 0, IF(登録一覧[[#This Row],[非表示]]&lt;&gt;"",1000,10000)),"-")</f>
        <v>-</v>
      </c>
      <c r="L99">
        <f t="shared" si="5"/>
        <v>247</v>
      </c>
      <c r="M99" t="str">
        <f t="shared" si="7"/>
        <v>-247</v>
      </c>
      <c r="N9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9" t="str">
        <f>IFERROR(IF(登録一覧[[#This Row],[決定]]="yes", 登録一覧[[#This Row],[希望]], "*"), "*")</f>
        <v>*</v>
      </c>
      <c r="P99">
        <f>COUNTIF($O$7:$O99,O99)</f>
        <v>93</v>
      </c>
      <c r="Q99" t="str">
        <f t="shared" si="6"/>
        <v>*93</v>
      </c>
      <c r="R99" t="str">
        <f>IFERROR(登録一覧[[#This Row],[学籍番号]],"-")</f>
        <v>-</v>
      </c>
      <c r="S99" t="str">
        <f>IFERROR(登録一覧[[#This Row],[氏名]],"-")</f>
        <v>-</v>
      </c>
    </row>
    <row r="100" spans="10:19" x14ac:dyDescent="0.4">
      <c r="J100" t="str">
        <f>IFERROR(IF(登録一覧[[#This Row],[希望]]="","-",登録一覧[[#This Row],[希望]]&amp;登録一覧[[#This Row],[学生枠]]),"-")</f>
        <v>-</v>
      </c>
      <c r="K100" t="str">
        <f>IFERROR(ROW()+IF(登録一覧[[#This Row],[修士]]&lt;&gt;"", 0, IF(登録一覧[[#This Row],[非表示]]&lt;&gt;"",1000,10000)),"-")</f>
        <v>-</v>
      </c>
      <c r="L100">
        <f t="shared" si="5"/>
        <v>247</v>
      </c>
      <c r="M100" t="str">
        <f t="shared" si="7"/>
        <v>-247</v>
      </c>
      <c r="N10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0" t="str">
        <f>IFERROR(IF(登録一覧[[#This Row],[決定]]="yes", 登録一覧[[#This Row],[希望]], "*"), "*")</f>
        <v>*</v>
      </c>
      <c r="P100">
        <f>COUNTIF($O$7:$O100,O100)</f>
        <v>94</v>
      </c>
      <c r="Q100" t="str">
        <f t="shared" si="6"/>
        <v>*94</v>
      </c>
      <c r="R100" t="str">
        <f>IFERROR(登録一覧[[#This Row],[学籍番号]],"-")</f>
        <v>-</v>
      </c>
      <c r="S100" t="str">
        <f>IFERROR(登録一覧[[#This Row],[氏名]],"-")</f>
        <v>-</v>
      </c>
    </row>
    <row r="101" spans="10:19" x14ac:dyDescent="0.4">
      <c r="J101" t="str">
        <f>IFERROR(IF(登録一覧[[#This Row],[希望]]="","-",登録一覧[[#This Row],[希望]]&amp;登録一覧[[#This Row],[学生枠]]),"-")</f>
        <v>-</v>
      </c>
      <c r="K101" t="str">
        <f>IFERROR(ROW()+IF(登録一覧[[#This Row],[修士]]&lt;&gt;"", 0, IF(登録一覧[[#This Row],[非表示]]&lt;&gt;"",1000,10000)),"-")</f>
        <v>-</v>
      </c>
      <c r="L101">
        <f t="shared" si="5"/>
        <v>247</v>
      </c>
      <c r="M101" t="str">
        <f t="shared" si="7"/>
        <v>-247</v>
      </c>
      <c r="N10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1" t="str">
        <f>IFERROR(IF(登録一覧[[#This Row],[決定]]="yes", 登録一覧[[#This Row],[希望]], "*"), "*")</f>
        <v>*</v>
      </c>
      <c r="P101">
        <f>COUNTIF($O$7:$O101,O101)</f>
        <v>95</v>
      </c>
      <c r="Q101" t="str">
        <f t="shared" si="6"/>
        <v>*95</v>
      </c>
      <c r="R101" t="str">
        <f>IFERROR(登録一覧[[#This Row],[学籍番号]],"-")</f>
        <v>-</v>
      </c>
      <c r="S101" t="str">
        <f>IFERROR(登録一覧[[#This Row],[氏名]],"-")</f>
        <v>-</v>
      </c>
    </row>
    <row r="102" spans="10:19" x14ac:dyDescent="0.4">
      <c r="J102" t="str">
        <f>IFERROR(IF(登録一覧[[#This Row],[希望]]="","-",登録一覧[[#This Row],[希望]]&amp;登録一覧[[#This Row],[学生枠]]),"-")</f>
        <v>-</v>
      </c>
      <c r="K102" t="str">
        <f>IFERROR(ROW()+IF(登録一覧[[#This Row],[修士]]&lt;&gt;"", 0, IF(登録一覧[[#This Row],[非表示]]&lt;&gt;"",1000,10000)),"-")</f>
        <v>-</v>
      </c>
      <c r="L102">
        <f t="shared" si="5"/>
        <v>247</v>
      </c>
      <c r="M102" t="str">
        <f t="shared" si="7"/>
        <v>-247</v>
      </c>
      <c r="N10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2" t="str">
        <f>IFERROR(IF(登録一覧[[#This Row],[決定]]="yes", 登録一覧[[#This Row],[希望]], "*"), "*")</f>
        <v>*</v>
      </c>
      <c r="P102">
        <f>COUNTIF($O$7:$O102,O102)</f>
        <v>96</v>
      </c>
      <c r="Q102" t="str">
        <f t="shared" si="6"/>
        <v>*96</v>
      </c>
      <c r="R102" t="str">
        <f>IFERROR(登録一覧[[#This Row],[学籍番号]],"-")</f>
        <v>-</v>
      </c>
      <c r="S102" t="str">
        <f>IFERROR(登録一覧[[#This Row],[氏名]],"-")</f>
        <v>-</v>
      </c>
    </row>
    <row r="103" spans="10:19" x14ac:dyDescent="0.4">
      <c r="J103" t="str">
        <f>IFERROR(IF(登録一覧[[#This Row],[希望]]="","-",登録一覧[[#This Row],[希望]]&amp;登録一覧[[#This Row],[学生枠]]),"-")</f>
        <v>-</v>
      </c>
      <c r="K103" t="str">
        <f>IFERROR(ROW()+IF(登録一覧[[#This Row],[修士]]&lt;&gt;"", 0, IF(登録一覧[[#This Row],[非表示]]&lt;&gt;"",1000,10000)),"-")</f>
        <v>-</v>
      </c>
      <c r="L103">
        <f t="shared" si="5"/>
        <v>247</v>
      </c>
      <c r="M103" t="str">
        <f t="shared" si="7"/>
        <v>-247</v>
      </c>
      <c r="N10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3" t="str">
        <f>IFERROR(IF(登録一覧[[#This Row],[決定]]="yes", 登録一覧[[#This Row],[希望]], "*"), "*")</f>
        <v>*</v>
      </c>
      <c r="P103">
        <f>COUNTIF($O$7:$O103,O103)</f>
        <v>97</v>
      </c>
      <c r="Q103" t="str">
        <f t="shared" si="6"/>
        <v>*97</v>
      </c>
      <c r="R103" t="str">
        <f>IFERROR(登録一覧[[#This Row],[学籍番号]],"-")</f>
        <v>-</v>
      </c>
      <c r="S103" t="str">
        <f>IFERROR(登録一覧[[#This Row],[氏名]],"-")</f>
        <v>-</v>
      </c>
    </row>
    <row r="104" spans="10:19" x14ac:dyDescent="0.4">
      <c r="J104" t="str">
        <f>IFERROR(IF(登録一覧[[#This Row],[希望]]="","-",登録一覧[[#This Row],[希望]]&amp;登録一覧[[#This Row],[学生枠]]),"-")</f>
        <v>-</v>
      </c>
      <c r="K104" t="str">
        <f>IFERROR(ROW()+IF(登録一覧[[#This Row],[修士]]&lt;&gt;"", 0, IF(登録一覧[[#This Row],[非表示]]&lt;&gt;"",1000,10000)),"-")</f>
        <v>-</v>
      </c>
      <c r="L104">
        <f t="shared" si="5"/>
        <v>247</v>
      </c>
      <c r="M104" t="str">
        <f t="shared" si="7"/>
        <v>-247</v>
      </c>
      <c r="N10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4" t="str">
        <f>IFERROR(IF(登録一覧[[#This Row],[決定]]="yes", 登録一覧[[#This Row],[希望]], "*"), "*")</f>
        <v>*</v>
      </c>
      <c r="P104">
        <f>COUNTIF($O$7:$O104,O104)</f>
        <v>98</v>
      </c>
      <c r="Q104" t="str">
        <f t="shared" si="6"/>
        <v>*98</v>
      </c>
      <c r="R104" t="str">
        <f>IFERROR(登録一覧[[#This Row],[学籍番号]],"-")</f>
        <v>-</v>
      </c>
      <c r="S104" t="str">
        <f>IFERROR(登録一覧[[#This Row],[氏名]],"-")</f>
        <v>-</v>
      </c>
    </row>
    <row r="105" spans="10:19" x14ac:dyDescent="0.4">
      <c r="J105" t="str">
        <f>IFERROR(IF(登録一覧[[#This Row],[希望]]="","-",登録一覧[[#This Row],[希望]]&amp;登録一覧[[#This Row],[学生枠]]),"-")</f>
        <v>-</v>
      </c>
      <c r="K105" t="str">
        <f>IFERROR(ROW()+IF(登録一覧[[#This Row],[修士]]&lt;&gt;"", 0, IF(登録一覧[[#This Row],[非表示]]&lt;&gt;"",1000,10000)),"-")</f>
        <v>-</v>
      </c>
      <c r="L105">
        <f t="shared" si="5"/>
        <v>247</v>
      </c>
      <c r="M105" t="str">
        <f t="shared" si="7"/>
        <v>-247</v>
      </c>
      <c r="N10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5" t="str">
        <f>IFERROR(IF(登録一覧[[#This Row],[決定]]="yes", 登録一覧[[#This Row],[希望]], "*"), "*")</f>
        <v>*</v>
      </c>
      <c r="P105">
        <f>COUNTIF($O$7:$O105,O105)</f>
        <v>99</v>
      </c>
      <c r="Q105" t="str">
        <f t="shared" si="6"/>
        <v>*99</v>
      </c>
      <c r="R105" t="str">
        <f>IFERROR(登録一覧[[#This Row],[学籍番号]],"-")</f>
        <v>-</v>
      </c>
      <c r="S105" t="str">
        <f>IFERROR(登録一覧[[#This Row],[氏名]],"-")</f>
        <v>-</v>
      </c>
    </row>
    <row r="106" spans="10:19" x14ac:dyDescent="0.4">
      <c r="J106" t="str">
        <f>IFERROR(IF(登録一覧[[#This Row],[希望]]="","-",登録一覧[[#This Row],[希望]]&amp;登録一覧[[#This Row],[学生枠]]),"-")</f>
        <v>-</v>
      </c>
      <c r="K106" t="str">
        <f>IFERROR(ROW()+IF(登録一覧[[#This Row],[修士]]&lt;&gt;"", 0, IF(登録一覧[[#This Row],[非表示]]&lt;&gt;"",1000,10000)),"-")</f>
        <v>-</v>
      </c>
      <c r="L106">
        <f t="shared" si="5"/>
        <v>247</v>
      </c>
      <c r="M106" t="str">
        <f t="shared" si="7"/>
        <v>-247</v>
      </c>
      <c r="N10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6" t="str">
        <f>IFERROR(IF(登録一覧[[#This Row],[決定]]="yes", 登録一覧[[#This Row],[希望]], "*"), "*")</f>
        <v>*</v>
      </c>
      <c r="P106">
        <f>COUNTIF($O$7:$O106,O106)</f>
        <v>100</v>
      </c>
      <c r="Q106" t="str">
        <f t="shared" si="6"/>
        <v>*100</v>
      </c>
      <c r="R106" t="str">
        <f>IFERROR(登録一覧[[#This Row],[学籍番号]],"-")</f>
        <v>-</v>
      </c>
      <c r="S106" t="str">
        <f>IFERROR(登録一覧[[#This Row],[氏名]],"-")</f>
        <v>-</v>
      </c>
    </row>
    <row r="107" spans="10:19" x14ac:dyDescent="0.4">
      <c r="J107" t="str">
        <f>IFERROR(IF(登録一覧[[#This Row],[希望]]="","-",登録一覧[[#This Row],[希望]]&amp;登録一覧[[#This Row],[学生枠]]),"-")</f>
        <v>-</v>
      </c>
      <c r="K107" t="str">
        <f>IFERROR(ROW()+IF(登録一覧[[#This Row],[修士]]&lt;&gt;"", 0, IF(登録一覧[[#This Row],[非表示]]&lt;&gt;"",1000,10000)),"-")</f>
        <v>-</v>
      </c>
      <c r="L107">
        <f t="shared" si="5"/>
        <v>247</v>
      </c>
      <c r="M107" t="str">
        <f t="shared" si="7"/>
        <v>-247</v>
      </c>
      <c r="N10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7" t="str">
        <f>IFERROR(IF(登録一覧[[#This Row],[決定]]="yes", 登録一覧[[#This Row],[希望]], "*"), "*")</f>
        <v>*</v>
      </c>
      <c r="P107">
        <f>COUNTIF($O$7:$O107,O107)</f>
        <v>101</v>
      </c>
      <c r="Q107" t="str">
        <f t="shared" si="6"/>
        <v>*101</v>
      </c>
      <c r="R107" t="str">
        <f>IFERROR(登録一覧[[#This Row],[学籍番号]],"-")</f>
        <v>-</v>
      </c>
      <c r="S107" t="str">
        <f>IFERROR(登録一覧[[#This Row],[氏名]],"-")</f>
        <v>-</v>
      </c>
    </row>
    <row r="108" spans="10:19" x14ac:dyDescent="0.4">
      <c r="J108" t="str">
        <f>IFERROR(IF(登録一覧[[#This Row],[希望]]="","-",登録一覧[[#This Row],[希望]]&amp;登録一覧[[#This Row],[学生枠]]),"-")</f>
        <v>-</v>
      </c>
      <c r="K108" t="str">
        <f>IFERROR(ROW()+IF(登録一覧[[#This Row],[修士]]&lt;&gt;"", 0, IF(登録一覧[[#This Row],[非表示]]&lt;&gt;"",1000,10000)),"-")</f>
        <v>-</v>
      </c>
      <c r="L108">
        <f t="shared" si="5"/>
        <v>247</v>
      </c>
      <c r="M108" t="str">
        <f t="shared" si="7"/>
        <v>-247</v>
      </c>
      <c r="N10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8" t="str">
        <f>IFERROR(IF(登録一覧[[#This Row],[決定]]="yes", 登録一覧[[#This Row],[希望]], "*"), "*")</f>
        <v>*</v>
      </c>
      <c r="P108">
        <f>COUNTIF($O$7:$O108,O108)</f>
        <v>102</v>
      </c>
      <c r="Q108" t="str">
        <f t="shared" si="6"/>
        <v>*102</v>
      </c>
      <c r="R108" t="str">
        <f>IFERROR(登録一覧[[#This Row],[学籍番号]],"-")</f>
        <v>-</v>
      </c>
      <c r="S108" t="str">
        <f>IFERROR(登録一覧[[#This Row],[氏名]],"-")</f>
        <v>-</v>
      </c>
    </row>
    <row r="109" spans="10:19" x14ac:dyDescent="0.4">
      <c r="J109" t="str">
        <f>IFERROR(IF(登録一覧[[#This Row],[希望]]="","-",登録一覧[[#This Row],[希望]]&amp;登録一覧[[#This Row],[学生枠]]),"-")</f>
        <v>-</v>
      </c>
      <c r="K109" t="str">
        <f>IFERROR(ROW()+IF(登録一覧[[#This Row],[修士]]&lt;&gt;"", 0, IF(登録一覧[[#This Row],[非表示]]&lt;&gt;"",1000,10000)),"-")</f>
        <v>-</v>
      </c>
      <c r="L109">
        <f t="shared" si="5"/>
        <v>247</v>
      </c>
      <c r="M109" t="str">
        <f t="shared" si="7"/>
        <v>-247</v>
      </c>
      <c r="N10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9" t="str">
        <f>IFERROR(IF(登録一覧[[#This Row],[決定]]="yes", 登録一覧[[#This Row],[希望]], "*"), "*")</f>
        <v>*</v>
      </c>
      <c r="P109">
        <f>COUNTIF($O$7:$O109,O109)</f>
        <v>103</v>
      </c>
      <c r="Q109" t="str">
        <f t="shared" si="6"/>
        <v>*103</v>
      </c>
      <c r="R109" t="str">
        <f>IFERROR(登録一覧[[#This Row],[学籍番号]],"-")</f>
        <v>-</v>
      </c>
      <c r="S109" t="str">
        <f>IFERROR(登録一覧[[#This Row],[氏名]],"-")</f>
        <v>-</v>
      </c>
    </row>
    <row r="110" spans="10:19" x14ac:dyDescent="0.4">
      <c r="J110" t="str">
        <f>IFERROR(IF(登録一覧[[#This Row],[希望]]="","-",登録一覧[[#This Row],[希望]]&amp;登録一覧[[#This Row],[学生枠]]),"-")</f>
        <v>-</v>
      </c>
      <c r="K110" t="str">
        <f>IFERROR(ROW()+IF(登録一覧[[#This Row],[修士]]&lt;&gt;"", 0, IF(登録一覧[[#This Row],[非表示]]&lt;&gt;"",1000,10000)),"-")</f>
        <v>-</v>
      </c>
      <c r="L110">
        <f t="shared" si="5"/>
        <v>247</v>
      </c>
      <c r="M110" t="str">
        <f t="shared" si="7"/>
        <v>-247</v>
      </c>
      <c r="N11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0" t="str">
        <f>IFERROR(IF(登録一覧[[#This Row],[決定]]="yes", 登録一覧[[#This Row],[希望]], "*"), "*")</f>
        <v>*</v>
      </c>
      <c r="P110">
        <f>COUNTIF($O$7:$O110,O110)</f>
        <v>104</v>
      </c>
      <c r="Q110" t="str">
        <f t="shared" si="6"/>
        <v>*104</v>
      </c>
      <c r="R110" t="str">
        <f>IFERROR(登録一覧[[#This Row],[学籍番号]],"-")</f>
        <v>-</v>
      </c>
      <c r="S110" t="str">
        <f>IFERROR(登録一覧[[#This Row],[氏名]],"-")</f>
        <v>-</v>
      </c>
    </row>
    <row r="111" spans="10:19" x14ac:dyDescent="0.4">
      <c r="J111" t="str">
        <f>IFERROR(IF(登録一覧[[#This Row],[希望]]="","-",登録一覧[[#This Row],[希望]]&amp;登録一覧[[#This Row],[学生枠]]),"-")</f>
        <v>-</v>
      </c>
      <c r="K111" t="str">
        <f>IFERROR(ROW()+IF(登録一覧[[#This Row],[修士]]&lt;&gt;"", 0, IF(登録一覧[[#This Row],[非表示]]&lt;&gt;"",1000,10000)),"-")</f>
        <v>-</v>
      </c>
      <c r="L111">
        <f t="shared" si="5"/>
        <v>247</v>
      </c>
      <c r="M111" t="str">
        <f t="shared" si="7"/>
        <v>-247</v>
      </c>
      <c r="N11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1" t="str">
        <f>IFERROR(IF(登録一覧[[#This Row],[決定]]="yes", 登録一覧[[#This Row],[希望]], "*"), "*")</f>
        <v>*</v>
      </c>
      <c r="P111">
        <f>COUNTIF($O$7:$O111,O111)</f>
        <v>105</v>
      </c>
      <c r="Q111" t="str">
        <f t="shared" si="6"/>
        <v>*105</v>
      </c>
      <c r="R111" t="str">
        <f>IFERROR(登録一覧[[#This Row],[学籍番号]],"-")</f>
        <v>-</v>
      </c>
      <c r="S111" t="str">
        <f>IFERROR(登録一覧[[#This Row],[氏名]],"-")</f>
        <v>-</v>
      </c>
    </row>
    <row r="112" spans="10:19" x14ac:dyDescent="0.4">
      <c r="J112" t="str">
        <f>IFERROR(IF(登録一覧[[#This Row],[希望]]="","-",登録一覧[[#This Row],[希望]]&amp;登録一覧[[#This Row],[学生枠]]),"-")</f>
        <v>-</v>
      </c>
      <c r="K112" t="str">
        <f>IFERROR(ROW()+IF(登録一覧[[#This Row],[修士]]&lt;&gt;"", 0, IF(登録一覧[[#This Row],[非表示]]&lt;&gt;"",1000,10000)),"-")</f>
        <v>-</v>
      </c>
      <c r="L112">
        <f t="shared" si="5"/>
        <v>247</v>
      </c>
      <c r="M112" t="str">
        <f t="shared" si="7"/>
        <v>-247</v>
      </c>
      <c r="N11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2" t="str">
        <f>IFERROR(IF(登録一覧[[#This Row],[決定]]="yes", 登録一覧[[#This Row],[希望]], "*"), "*")</f>
        <v>*</v>
      </c>
      <c r="P112">
        <f>COUNTIF($O$7:$O112,O112)</f>
        <v>106</v>
      </c>
      <c r="Q112" t="str">
        <f t="shared" si="6"/>
        <v>*106</v>
      </c>
      <c r="R112" t="str">
        <f>IFERROR(登録一覧[[#This Row],[学籍番号]],"-")</f>
        <v>-</v>
      </c>
      <c r="S112" t="str">
        <f>IFERROR(登録一覧[[#This Row],[氏名]],"-")</f>
        <v>-</v>
      </c>
    </row>
    <row r="113" spans="10:19" x14ac:dyDescent="0.4">
      <c r="J113" t="str">
        <f>IFERROR(IF(登録一覧[[#This Row],[希望]]="","-",登録一覧[[#This Row],[希望]]&amp;登録一覧[[#This Row],[学生枠]]),"-")</f>
        <v>-</v>
      </c>
      <c r="K113" t="str">
        <f>IFERROR(ROW()+IF(登録一覧[[#This Row],[修士]]&lt;&gt;"", 0, IF(登録一覧[[#This Row],[非表示]]&lt;&gt;"",1000,10000)),"-")</f>
        <v>-</v>
      </c>
      <c r="L113">
        <f t="shared" si="5"/>
        <v>247</v>
      </c>
      <c r="M113" t="str">
        <f t="shared" si="7"/>
        <v>-247</v>
      </c>
      <c r="N11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3" t="str">
        <f>IFERROR(IF(登録一覧[[#This Row],[決定]]="yes", 登録一覧[[#This Row],[希望]], "*"), "*")</f>
        <v>*</v>
      </c>
      <c r="P113">
        <f>COUNTIF($O$7:$O113,O113)</f>
        <v>107</v>
      </c>
      <c r="Q113" t="str">
        <f t="shared" si="6"/>
        <v>*107</v>
      </c>
      <c r="R113" t="str">
        <f>IFERROR(登録一覧[[#This Row],[学籍番号]],"-")</f>
        <v>-</v>
      </c>
      <c r="S113" t="str">
        <f>IFERROR(登録一覧[[#This Row],[氏名]],"-")</f>
        <v>-</v>
      </c>
    </row>
    <row r="114" spans="10:19" x14ac:dyDescent="0.4">
      <c r="J114" t="str">
        <f>IFERROR(IF(登録一覧[[#This Row],[希望]]="","-",登録一覧[[#This Row],[希望]]&amp;登録一覧[[#This Row],[学生枠]]),"-")</f>
        <v>-</v>
      </c>
      <c r="K114" t="str">
        <f>IFERROR(ROW()+IF(登録一覧[[#This Row],[修士]]&lt;&gt;"", 0, IF(登録一覧[[#This Row],[非表示]]&lt;&gt;"",1000,10000)),"-")</f>
        <v>-</v>
      </c>
      <c r="L114">
        <f t="shared" si="5"/>
        <v>247</v>
      </c>
      <c r="M114" t="str">
        <f t="shared" si="7"/>
        <v>-247</v>
      </c>
      <c r="N11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4" t="str">
        <f>IFERROR(IF(登録一覧[[#This Row],[決定]]="yes", 登録一覧[[#This Row],[希望]], "*"), "*")</f>
        <v>*</v>
      </c>
      <c r="P114">
        <f>COUNTIF($O$7:$O114,O114)</f>
        <v>108</v>
      </c>
      <c r="Q114" t="str">
        <f t="shared" si="6"/>
        <v>*108</v>
      </c>
      <c r="R114" t="str">
        <f>IFERROR(登録一覧[[#This Row],[学籍番号]],"-")</f>
        <v>-</v>
      </c>
      <c r="S114" t="str">
        <f>IFERROR(登録一覧[[#This Row],[氏名]],"-")</f>
        <v>-</v>
      </c>
    </row>
    <row r="115" spans="10:19" x14ac:dyDescent="0.4">
      <c r="J115" t="str">
        <f>IFERROR(IF(登録一覧[[#This Row],[希望]]="","-",登録一覧[[#This Row],[希望]]&amp;登録一覧[[#This Row],[学生枠]]),"-")</f>
        <v>-</v>
      </c>
      <c r="K115" t="str">
        <f>IFERROR(ROW()+IF(登録一覧[[#This Row],[修士]]&lt;&gt;"", 0, IF(登録一覧[[#This Row],[非表示]]&lt;&gt;"",1000,10000)),"-")</f>
        <v>-</v>
      </c>
      <c r="L115">
        <f t="shared" si="5"/>
        <v>247</v>
      </c>
      <c r="M115" t="str">
        <f t="shared" si="7"/>
        <v>-247</v>
      </c>
      <c r="N11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5" t="str">
        <f>IFERROR(IF(登録一覧[[#This Row],[決定]]="yes", 登録一覧[[#This Row],[希望]], "*"), "*")</f>
        <v>*</v>
      </c>
      <c r="P115">
        <f>COUNTIF($O$7:$O115,O115)</f>
        <v>109</v>
      </c>
      <c r="Q115" t="str">
        <f t="shared" si="6"/>
        <v>*109</v>
      </c>
      <c r="R115" t="str">
        <f>IFERROR(登録一覧[[#This Row],[学籍番号]],"-")</f>
        <v>-</v>
      </c>
      <c r="S115" t="str">
        <f>IFERROR(登録一覧[[#This Row],[氏名]],"-")</f>
        <v>-</v>
      </c>
    </row>
    <row r="116" spans="10:19" x14ac:dyDescent="0.4">
      <c r="J116" t="str">
        <f>IFERROR(IF(登録一覧[[#This Row],[希望]]="","-",登録一覧[[#This Row],[希望]]&amp;登録一覧[[#This Row],[学生枠]]),"-")</f>
        <v>-</v>
      </c>
      <c r="K116" t="str">
        <f>IFERROR(ROW()+IF(登録一覧[[#This Row],[修士]]&lt;&gt;"", 0, IF(登録一覧[[#This Row],[非表示]]&lt;&gt;"",1000,10000)),"-")</f>
        <v>-</v>
      </c>
      <c r="L116">
        <f t="shared" si="5"/>
        <v>247</v>
      </c>
      <c r="M116" t="str">
        <f t="shared" si="7"/>
        <v>-247</v>
      </c>
      <c r="N11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6" t="str">
        <f>IFERROR(IF(登録一覧[[#This Row],[決定]]="yes", 登録一覧[[#This Row],[希望]], "*"), "*")</f>
        <v>*</v>
      </c>
      <c r="P116">
        <f>COUNTIF($O$7:$O116,O116)</f>
        <v>110</v>
      </c>
      <c r="Q116" t="str">
        <f t="shared" si="6"/>
        <v>*110</v>
      </c>
      <c r="R116" t="str">
        <f>IFERROR(登録一覧[[#This Row],[学籍番号]],"-")</f>
        <v>-</v>
      </c>
      <c r="S116" t="str">
        <f>IFERROR(登録一覧[[#This Row],[氏名]],"-")</f>
        <v>-</v>
      </c>
    </row>
    <row r="117" spans="10:19" x14ac:dyDescent="0.4">
      <c r="J117" t="str">
        <f>IFERROR(IF(登録一覧[[#This Row],[希望]]="","-",登録一覧[[#This Row],[希望]]&amp;登録一覧[[#This Row],[学生枠]]),"-")</f>
        <v>-</v>
      </c>
      <c r="K117" t="str">
        <f>IFERROR(ROW()+IF(登録一覧[[#This Row],[修士]]&lt;&gt;"", 0, IF(登録一覧[[#This Row],[非表示]]&lt;&gt;"",1000,10000)),"-")</f>
        <v>-</v>
      </c>
      <c r="L117">
        <f t="shared" si="5"/>
        <v>247</v>
      </c>
      <c r="M117" t="str">
        <f t="shared" si="7"/>
        <v>-247</v>
      </c>
      <c r="N11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7" t="str">
        <f>IFERROR(IF(登録一覧[[#This Row],[決定]]="yes", 登録一覧[[#This Row],[希望]], "*"), "*")</f>
        <v>*</v>
      </c>
      <c r="P117">
        <f>COUNTIF($O$7:$O117,O117)</f>
        <v>111</v>
      </c>
      <c r="Q117" t="str">
        <f t="shared" si="6"/>
        <v>*111</v>
      </c>
      <c r="R117" t="str">
        <f>IFERROR(登録一覧[[#This Row],[学籍番号]],"-")</f>
        <v>-</v>
      </c>
      <c r="S117" t="str">
        <f>IFERROR(登録一覧[[#This Row],[氏名]],"-")</f>
        <v>-</v>
      </c>
    </row>
    <row r="118" spans="10:19" x14ac:dyDescent="0.4">
      <c r="J118" t="str">
        <f>IFERROR(IF(登録一覧[[#This Row],[希望]]="","-",登録一覧[[#This Row],[希望]]&amp;登録一覧[[#This Row],[学生枠]]),"-")</f>
        <v>-</v>
      </c>
      <c r="K118" t="str">
        <f>IFERROR(ROW()+IF(登録一覧[[#This Row],[修士]]&lt;&gt;"", 0, IF(登録一覧[[#This Row],[非表示]]&lt;&gt;"",1000,10000)),"-")</f>
        <v>-</v>
      </c>
      <c r="L118">
        <f t="shared" si="5"/>
        <v>247</v>
      </c>
      <c r="M118" t="str">
        <f t="shared" si="7"/>
        <v>-247</v>
      </c>
      <c r="N11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8" t="str">
        <f>IFERROR(IF(登録一覧[[#This Row],[決定]]="yes", 登録一覧[[#This Row],[希望]], "*"), "*")</f>
        <v>*</v>
      </c>
      <c r="P118">
        <f>COUNTIF($O$7:$O118,O118)</f>
        <v>112</v>
      </c>
      <c r="Q118" t="str">
        <f t="shared" si="6"/>
        <v>*112</v>
      </c>
      <c r="R118" t="str">
        <f>IFERROR(登録一覧[[#This Row],[学籍番号]],"-")</f>
        <v>-</v>
      </c>
      <c r="S118" t="str">
        <f>IFERROR(登録一覧[[#This Row],[氏名]],"-")</f>
        <v>-</v>
      </c>
    </row>
    <row r="119" spans="10:19" x14ac:dyDescent="0.4">
      <c r="J119" t="str">
        <f>IFERROR(IF(登録一覧[[#This Row],[希望]]="","-",登録一覧[[#This Row],[希望]]&amp;登録一覧[[#This Row],[学生枠]]),"-")</f>
        <v>-</v>
      </c>
      <c r="K119" t="str">
        <f>IFERROR(ROW()+IF(登録一覧[[#This Row],[修士]]&lt;&gt;"", 0, IF(登録一覧[[#This Row],[非表示]]&lt;&gt;"",1000,10000)),"-")</f>
        <v>-</v>
      </c>
      <c r="L119">
        <f t="shared" si="5"/>
        <v>247</v>
      </c>
      <c r="M119" t="str">
        <f t="shared" si="7"/>
        <v>-247</v>
      </c>
      <c r="N11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9" t="str">
        <f>IFERROR(IF(登録一覧[[#This Row],[決定]]="yes", 登録一覧[[#This Row],[希望]], "*"), "*")</f>
        <v>*</v>
      </c>
      <c r="P119">
        <f>COUNTIF($O$7:$O119,O119)</f>
        <v>113</v>
      </c>
      <c r="Q119" t="str">
        <f t="shared" si="6"/>
        <v>*113</v>
      </c>
      <c r="R119" t="str">
        <f>IFERROR(登録一覧[[#This Row],[学籍番号]],"-")</f>
        <v>-</v>
      </c>
      <c r="S119" t="str">
        <f>IFERROR(登録一覧[[#This Row],[氏名]],"-")</f>
        <v>-</v>
      </c>
    </row>
    <row r="120" spans="10:19" x14ac:dyDescent="0.4">
      <c r="J120" t="str">
        <f>IFERROR(IF(登録一覧[[#This Row],[希望]]="","-",登録一覧[[#This Row],[希望]]&amp;登録一覧[[#This Row],[学生枠]]),"-")</f>
        <v>-</v>
      </c>
      <c r="K120" t="str">
        <f>IFERROR(ROW()+IF(登録一覧[[#This Row],[修士]]&lt;&gt;"", 0, IF(登録一覧[[#This Row],[非表示]]&lt;&gt;"",1000,10000)),"-")</f>
        <v>-</v>
      </c>
      <c r="L120">
        <f t="shared" si="5"/>
        <v>247</v>
      </c>
      <c r="M120" t="str">
        <f t="shared" si="7"/>
        <v>-247</v>
      </c>
      <c r="N12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0" t="str">
        <f>IFERROR(IF(登録一覧[[#This Row],[決定]]="yes", 登録一覧[[#This Row],[希望]], "*"), "*")</f>
        <v>*</v>
      </c>
      <c r="P120">
        <f>COUNTIF($O$7:$O120,O120)</f>
        <v>114</v>
      </c>
      <c r="Q120" t="str">
        <f t="shared" si="6"/>
        <v>*114</v>
      </c>
      <c r="R120" t="str">
        <f>IFERROR(登録一覧[[#This Row],[学籍番号]],"-")</f>
        <v>-</v>
      </c>
      <c r="S120" t="str">
        <f>IFERROR(登録一覧[[#This Row],[氏名]],"-")</f>
        <v>-</v>
      </c>
    </row>
    <row r="121" spans="10:19" x14ac:dyDescent="0.4">
      <c r="J121" t="str">
        <f>IFERROR(IF(登録一覧[[#This Row],[希望]]="","-",登録一覧[[#This Row],[希望]]&amp;登録一覧[[#This Row],[学生枠]]),"-")</f>
        <v>-</v>
      </c>
      <c r="K121" t="str">
        <f>IFERROR(ROW()+IF(登録一覧[[#This Row],[修士]]&lt;&gt;"", 0, IF(登録一覧[[#This Row],[非表示]]&lt;&gt;"",1000,10000)),"-")</f>
        <v>-</v>
      </c>
      <c r="L121">
        <f t="shared" si="5"/>
        <v>247</v>
      </c>
      <c r="M121" t="str">
        <f t="shared" si="7"/>
        <v>-247</v>
      </c>
      <c r="N12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1" t="str">
        <f>IFERROR(IF(登録一覧[[#This Row],[決定]]="yes", 登録一覧[[#This Row],[希望]], "*"), "*")</f>
        <v>*</v>
      </c>
      <c r="P121">
        <f>COUNTIF($O$7:$O121,O121)</f>
        <v>115</v>
      </c>
      <c r="Q121" t="str">
        <f t="shared" si="6"/>
        <v>*115</v>
      </c>
      <c r="R121" t="str">
        <f>IFERROR(登録一覧[[#This Row],[学籍番号]],"-")</f>
        <v>-</v>
      </c>
      <c r="S121" t="str">
        <f>IFERROR(登録一覧[[#This Row],[氏名]],"-")</f>
        <v>-</v>
      </c>
    </row>
    <row r="122" spans="10:19" x14ac:dyDescent="0.4">
      <c r="J122" t="str">
        <f>IFERROR(IF(登録一覧[[#This Row],[希望]]="","-",登録一覧[[#This Row],[希望]]&amp;登録一覧[[#This Row],[学生枠]]),"-")</f>
        <v>-</v>
      </c>
      <c r="K122" t="str">
        <f>IFERROR(ROW()+IF(登録一覧[[#This Row],[修士]]&lt;&gt;"", 0, IF(登録一覧[[#This Row],[非表示]]&lt;&gt;"",1000,10000)),"-")</f>
        <v>-</v>
      </c>
      <c r="L122">
        <f t="shared" si="5"/>
        <v>247</v>
      </c>
      <c r="M122" t="str">
        <f t="shared" si="7"/>
        <v>-247</v>
      </c>
      <c r="N12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2" t="str">
        <f>IFERROR(IF(登録一覧[[#This Row],[決定]]="yes", 登録一覧[[#This Row],[希望]], "*"), "*")</f>
        <v>*</v>
      </c>
      <c r="P122">
        <f>COUNTIF($O$7:$O122,O122)</f>
        <v>116</v>
      </c>
      <c r="Q122" t="str">
        <f t="shared" si="6"/>
        <v>*116</v>
      </c>
      <c r="R122" t="str">
        <f>IFERROR(登録一覧[[#This Row],[学籍番号]],"-")</f>
        <v>-</v>
      </c>
      <c r="S122" t="str">
        <f>IFERROR(登録一覧[[#This Row],[氏名]],"-")</f>
        <v>-</v>
      </c>
    </row>
    <row r="123" spans="10:19" x14ac:dyDescent="0.4">
      <c r="J123" t="str">
        <f>IFERROR(IF(登録一覧[[#This Row],[希望]]="","-",登録一覧[[#This Row],[希望]]&amp;登録一覧[[#This Row],[学生枠]]),"-")</f>
        <v>-</v>
      </c>
      <c r="K123" t="str">
        <f>IFERROR(ROW()+IF(登録一覧[[#This Row],[修士]]&lt;&gt;"", 0, IF(登録一覧[[#This Row],[非表示]]&lt;&gt;"",1000,10000)),"-")</f>
        <v>-</v>
      </c>
      <c r="L123">
        <f t="shared" si="5"/>
        <v>247</v>
      </c>
      <c r="M123" t="str">
        <f t="shared" si="7"/>
        <v>-247</v>
      </c>
      <c r="N12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3" t="str">
        <f>IFERROR(IF(登録一覧[[#This Row],[決定]]="yes", 登録一覧[[#This Row],[希望]], "*"), "*")</f>
        <v>*</v>
      </c>
      <c r="P123">
        <f>COUNTIF($O$7:$O123,O123)</f>
        <v>117</v>
      </c>
      <c r="Q123" t="str">
        <f t="shared" si="6"/>
        <v>*117</v>
      </c>
      <c r="R123" t="str">
        <f>IFERROR(登録一覧[[#This Row],[学籍番号]],"-")</f>
        <v>-</v>
      </c>
      <c r="S123" t="str">
        <f>IFERROR(登録一覧[[#This Row],[氏名]],"-")</f>
        <v>-</v>
      </c>
    </row>
    <row r="124" spans="10:19" x14ac:dyDescent="0.4">
      <c r="J124" t="str">
        <f>IFERROR(IF(登録一覧[[#This Row],[希望]]="","-",登録一覧[[#This Row],[希望]]&amp;登録一覧[[#This Row],[学生枠]]),"-")</f>
        <v>-</v>
      </c>
      <c r="K124" t="str">
        <f>IFERROR(ROW()+IF(登録一覧[[#This Row],[修士]]&lt;&gt;"", 0, IF(登録一覧[[#This Row],[非表示]]&lt;&gt;"",1000,10000)),"-")</f>
        <v>-</v>
      </c>
      <c r="L124">
        <f t="shared" si="5"/>
        <v>247</v>
      </c>
      <c r="M124" t="str">
        <f t="shared" si="7"/>
        <v>-247</v>
      </c>
      <c r="N12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4" t="str">
        <f>IFERROR(IF(登録一覧[[#This Row],[決定]]="yes", 登録一覧[[#This Row],[希望]], "*"), "*")</f>
        <v>*</v>
      </c>
      <c r="P124">
        <f>COUNTIF($O$7:$O124,O124)</f>
        <v>118</v>
      </c>
      <c r="Q124" t="str">
        <f t="shared" si="6"/>
        <v>*118</v>
      </c>
      <c r="R124" t="str">
        <f>IFERROR(登録一覧[[#This Row],[学籍番号]],"-")</f>
        <v>-</v>
      </c>
      <c r="S124" t="str">
        <f>IFERROR(登録一覧[[#This Row],[氏名]],"-")</f>
        <v>-</v>
      </c>
    </row>
    <row r="125" spans="10:19" x14ac:dyDescent="0.4">
      <c r="J125" t="str">
        <f>IFERROR(IF(登録一覧[[#This Row],[希望]]="","-",登録一覧[[#This Row],[希望]]&amp;登録一覧[[#This Row],[学生枠]]),"-")</f>
        <v>-</v>
      </c>
      <c r="K125" t="str">
        <f>IFERROR(ROW()+IF(登録一覧[[#This Row],[修士]]&lt;&gt;"", 0, IF(登録一覧[[#This Row],[非表示]]&lt;&gt;"",1000,10000)),"-")</f>
        <v>-</v>
      </c>
      <c r="L125">
        <f t="shared" si="5"/>
        <v>247</v>
      </c>
      <c r="M125" t="str">
        <f t="shared" si="7"/>
        <v>-247</v>
      </c>
      <c r="N12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5" t="str">
        <f>IFERROR(IF(登録一覧[[#This Row],[決定]]="yes", 登録一覧[[#This Row],[希望]], "*"), "*")</f>
        <v>*</v>
      </c>
      <c r="P125">
        <f>COUNTIF($O$7:$O125,O125)</f>
        <v>119</v>
      </c>
      <c r="Q125" t="str">
        <f t="shared" si="6"/>
        <v>*119</v>
      </c>
      <c r="R125" t="str">
        <f>IFERROR(登録一覧[[#This Row],[学籍番号]],"-")</f>
        <v>-</v>
      </c>
      <c r="S125" t="str">
        <f>IFERROR(登録一覧[[#This Row],[氏名]],"-")</f>
        <v>-</v>
      </c>
    </row>
    <row r="126" spans="10:19" x14ac:dyDescent="0.4">
      <c r="J126" t="str">
        <f>IFERROR(IF(登録一覧[[#This Row],[希望]]="","-",登録一覧[[#This Row],[希望]]&amp;登録一覧[[#This Row],[学生枠]]),"-")</f>
        <v>-</v>
      </c>
      <c r="K126" t="str">
        <f>IFERROR(ROW()+IF(登録一覧[[#This Row],[修士]]&lt;&gt;"", 0, IF(登録一覧[[#This Row],[非表示]]&lt;&gt;"",1000,10000)),"-")</f>
        <v>-</v>
      </c>
      <c r="L126">
        <f t="shared" si="5"/>
        <v>247</v>
      </c>
      <c r="M126" t="str">
        <f t="shared" si="7"/>
        <v>-247</v>
      </c>
      <c r="N12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6" t="str">
        <f>IFERROR(IF(登録一覧[[#This Row],[決定]]="yes", 登録一覧[[#This Row],[希望]], "*"), "*")</f>
        <v>*</v>
      </c>
      <c r="P126">
        <f>COUNTIF($O$7:$O126,O126)</f>
        <v>120</v>
      </c>
      <c r="Q126" t="str">
        <f t="shared" si="6"/>
        <v>*120</v>
      </c>
      <c r="R126" t="str">
        <f>IFERROR(登録一覧[[#This Row],[学籍番号]],"-")</f>
        <v>-</v>
      </c>
      <c r="S126" t="str">
        <f>IFERROR(登録一覧[[#This Row],[氏名]],"-")</f>
        <v>-</v>
      </c>
    </row>
    <row r="127" spans="10:19" x14ac:dyDescent="0.4">
      <c r="J127" t="str">
        <f>IFERROR(IF(登録一覧[[#This Row],[希望]]="","-",登録一覧[[#This Row],[希望]]&amp;登録一覧[[#This Row],[学生枠]]),"-")</f>
        <v>-</v>
      </c>
      <c r="K127" t="str">
        <f>IFERROR(ROW()+IF(登録一覧[[#This Row],[修士]]&lt;&gt;"", 0, IF(登録一覧[[#This Row],[非表示]]&lt;&gt;"",1000,10000)),"-")</f>
        <v>-</v>
      </c>
      <c r="L127">
        <f t="shared" si="5"/>
        <v>247</v>
      </c>
      <c r="M127" t="str">
        <f t="shared" si="7"/>
        <v>-247</v>
      </c>
      <c r="N12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7" t="str">
        <f>IFERROR(IF(登録一覧[[#This Row],[決定]]="yes", 登録一覧[[#This Row],[希望]], "*"), "*")</f>
        <v>*</v>
      </c>
      <c r="P127">
        <f>COUNTIF($O$7:$O127,O127)</f>
        <v>121</v>
      </c>
      <c r="Q127" t="str">
        <f t="shared" si="6"/>
        <v>*121</v>
      </c>
      <c r="R127" t="str">
        <f>IFERROR(登録一覧[[#This Row],[学籍番号]],"-")</f>
        <v>-</v>
      </c>
      <c r="S127" t="str">
        <f>IFERROR(登録一覧[[#This Row],[氏名]],"-")</f>
        <v>-</v>
      </c>
    </row>
    <row r="128" spans="10:19" x14ac:dyDescent="0.4">
      <c r="J128" t="str">
        <f>IFERROR(IF(登録一覧[[#This Row],[希望]]="","-",登録一覧[[#This Row],[希望]]&amp;登録一覧[[#This Row],[学生枠]]),"-")</f>
        <v>-</v>
      </c>
      <c r="K128" t="str">
        <f>IFERROR(ROW()+IF(登録一覧[[#This Row],[修士]]&lt;&gt;"", 0, IF(登録一覧[[#This Row],[非表示]]&lt;&gt;"",1000,10000)),"-")</f>
        <v>-</v>
      </c>
      <c r="L128">
        <f t="shared" si="5"/>
        <v>247</v>
      </c>
      <c r="M128" t="str">
        <f t="shared" si="7"/>
        <v>-247</v>
      </c>
      <c r="N12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8" t="str">
        <f>IFERROR(IF(登録一覧[[#This Row],[決定]]="yes", 登録一覧[[#This Row],[希望]], "*"), "*")</f>
        <v>*</v>
      </c>
      <c r="P128">
        <f>COUNTIF($O$7:$O128,O128)</f>
        <v>122</v>
      </c>
      <c r="Q128" t="str">
        <f t="shared" si="6"/>
        <v>*122</v>
      </c>
      <c r="R128" t="str">
        <f>IFERROR(登録一覧[[#This Row],[学籍番号]],"-")</f>
        <v>-</v>
      </c>
      <c r="S128" t="str">
        <f>IFERROR(登録一覧[[#This Row],[氏名]],"-")</f>
        <v>-</v>
      </c>
    </row>
    <row r="129" spans="10:19" x14ac:dyDescent="0.4">
      <c r="J129" t="str">
        <f>IFERROR(IF(登録一覧[[#This Row],[希望]]="","-",登録一覧[[#This Row],[希望]]&amp;登録一覧[[#This Row],[学生枠]]),"-")</f>
        <v>-</v>
      </c>
      <c r="K129" t="str">
        <f>IFERROR(ROW()+IF(登録一覧[[#This Row],[修士]]&lt;&gt;"", 0, IF(登録一覧[[#This Row],[非表示]]&lt;&gt;"",1000,10000)),"-")</f>
        <v>-</v>
      </c>
      <c r="L129">
        <f t="shared" si="5"/>
        <v>247</v>
      </c>
      <c r="M129" t="str">
        <f t="shared" si="7"/>
        <v>-247</v>
      </c>
      <c r="N12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9" t="str">
        <f>IFERROR(IF(登録一覧[[#This Row],[決定]]="yes", 登録一覧[[#This Row],[希望]], "*"), "*")</f>
        <v>*</v>
      </c>
      <c r="P129">
        <f>COUNTIF($O$7:$O129,O129)</f>
        <v>123</v>
      </c>
      <c r="Q129" t="str">
        <f t="shared" si="6"/>
        <v>*123</v>
      </c>
      <c r="R129" t="str">
        <f>IFERROR(登録一覧[[#This Row],[学籍番号]],"-")</f>
        <v>-</v>
      </c>
      <c r="S129" t="str">
        <f>IFERROR(登録一覧[[#This Row],[氏名]],"-")</f>
        <v>-</v>
      </c>
    </row>
    <row r="130" spans="10:19" x14ac:dyDescent="0.4">
      <c r="J130" t="str">
        <f>IFERROR(IF(登録一覧[[#This Row],[希望]]="","-",登録一覧[[#This Row],[希望]]&amp;登録一覧[[#This Row],[学生枠]]),"-")</f>
        <v>-</v>
      </c>
      <c r="K130" t="str">
        <f>IFERROR(ROW()+IF(登録一覧[[#This Row],[修士]]&lt;&gt;"", 0, IF(登録一覧[[#This Row],[非表示]]&lt;&gt;"",1000,10000)),"-")</f>
        <v>-</v>
      </c>
      <c r="L130">
        <f t="shared" si="5"/>
        <v>247</v>
      </c>
      <c r="M130" t="str">
        <f t="shared" si="7"/>
        <v>-247</v>
      </c>
      <c r="N13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0" t="str">
        <f>IFERROR(IF(登録一覧[[#This Row],[決定]]="yes", 登録一覧[[#This Row],[希望]], "*"), "*")</f>
        <v>*</v>
      </c>
      <c r="P130">
        <f>COUNTIF($O$7:$O130,O130)</f>
        <v>124</v>
      </c>
      <c r="Q130" t="str">
        <f t="shared" si="6"/>
        <v>*124</v>
      </c>
      <c r="R130" t="str">
        <f>IFERROR(登録一覧[[#This Row],[学籍番号]],"-")</f>
        <v>-</v>
      </c>
      <c r="S130" t="str">
        <f>IFERROR(登録一覧[[#This Row],[氏名]],"-")</f>
        <v>-</v>
      </c>
    </row>
    <row r="131" spans="10:19" x14ac:dyDescent="0.4">
      <c r="J131" t="str">
        <f>IFERROR(IF(登録一覧[[#This Row],[希望]]="","-",登録一覧[[#This Row],[希望]]&amp;登録一覧[[#This Row],[学生枠]]),"-")</f>
        <v>-</v>
      </c>
      <c r="K131" t="str">
        <f>IFERROR(ROW()+IF(登録一覧[[#This Row],[修士]]&lt;&gt;"", 0, IF(登録一覧[[#This Row],[非表示]]&lt;&gt;"",1000,10000)),"-")</f>
        <v>-</v>
      </c>
      <c r="L131">
        <f t="shared" si="5"/>
        <v>247</v>
      </c>
      <c r="M131" t="str">
        <f t="shared" si="7"/>
        <v>-247</v>
      </c>
      <c r="N13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1" t="str">
        <f>IFERROR(IF(登録一覧[[#This Row],[決定]]="yes", 登録一覧[[#This Row],[希望]], "*"), "*")</f>
        <v>*</v>
      </c>
      <c r="P131">
        <f>COUNTIF($O$7:$O131,O131)</f>
        <v>125</v>
      </c>
      <c r="Q131" t="str">
        <f t="shared" si="6"/>
        <v>*125</v>
      </c>
      <c r="R131" t="str">
        <f>IFERROR(登録一覧[[#This Row],[学籍番号]],"-")</f>
        <v>-</v>
      </c>
      <c r="S131" t="str">
        <f>IFERROR(登録一覧[[#This Row],[氏名]],"-")</f>
        <v>-</v>
      </c>
    </row>
    <row r="132" spans="10:19" x14ac:dyDescent="0.4">
      <c r="J132" t="str">
        <f>IFERROR(IF(登録一覧[[#This Row],[希望]]="","-",登録一覧[[#This Row],[希望]]&amp;登録一覧[[#This Row],[学生枠]]),"-")</f>
        <v>-</v>
      </c>
      <c r="K132" t="str">
        <f>IFERROR(ROW()+IF(登録一覧[[#This Row],[修士]]&lt;&gt;"", 0, IF(登録一覧[[#This Row],[非表示]]&lt;&gt;"",1000,10000)),"-")</f>
        <v>-</v>
      </c>
      <c r="L132">
        <f t="shared" si="5"/>
        <v>247</v>
      </c>
      <c r="M132" t="str">
        <f t="shared" si="7"/>
        <v>-247</v>
      </c>
      <c r="N13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2" t="str">
        <f>IFERROR(IF(登録一覧[[#This Row],[決定]]="yes", 登録一覧[[#This Row],[希望]], "*"), "*")</f>
        <v>*</v>
      </c>
      <c r="P132">
        <f>COUNTIF($O$7:$O132,O132)</f>
        <v>126</v>
      </c>
      <c r="Q132" t="str">
        <f t="shared" si="6"/>
        <v>*126</v>
      </c>
      <c r="R132" t="str">
        <f>IFERROR(登録一覧[[#This Row],[学籍番号]],"-")</f>
        <v>-</v>
      </c>
      <c r="S132" t="str">
        <f>IFERROR(登録一覧[[#This Row],[氏名]],"-")</f>
        <v>-</v>
      </c>
    </row>
    <row r="133" spans="10:19" x14ac:dyDescent="0.4">
      <c r="J133" t="str">
        <f>IFERROR(IF(登録一覧[[#This Row],[希望]]="","-",登録一覧[[#This Row],[希望]]&amp;登録一覧[[#This Row],[学生枠]]),"-")</f>
        <v>-</v>
      </c>
      <c r="K133" t="str">
        <f>IFERROR(ROW()+IF(登録一覧[[#This Row],[修士]]&lt;&gt;"", 0, IF(登録一覧[[#This Row],[非表示]]&lt;&gt;"",1000,10000)),"-")</f>
        <v>-</v>
      </c>
      <c r="L133">
        <f t="shared" si="5"/>
        <v>247</v>
      </c>
      <c r="M133" t="str">
        <f t="shared" si="7"/>
        <v>-247</v>
      </c>
      <c r="N13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3" t="str">
        <f>IFERROR(IF(登録一覧[[#This Row],[決定]]="yes", 登録一覧[[#This Row],[希望]], "*"), "*")</f>
        <v>*</v>
      </c>
      <c r="P133">
        <f>COUNTIF($O$7:$O133,O133)</f>
        <v>127</v>
      </c>
      <c r="Q133" t="str">
        <f t="shared" si="6"/>
        <v>*127</v>
      </c>
      <c r="R133" t="str">
        <f>IFERROR(登録一覧[[#This Row],[学籍番号]],"-")</f>
        <v>-</v>
      </c>
      <c r="S133" t="str">
        <f>IFERROR(登録一覧[[#This Row],[氏名]],"-")</f>
        <v>-</v>
      </c>
    </row>
    <row r="134" spans="10:19" x14ac:dyDescent="0.4">
      <c r="J134" t="str">
        <f>IFERROR(IF(登録一覧[[#This Row],[希望]]="","-",登録一覧[[#This Row],[希望]]&amp;登録一覧[[#This Row],[学生枠]]),"-")</f>
        <v>-</v>
      </c>
      <c r="K134" t="str">
        <f>IFERROR(ROW()+IF(登録一覧[[#This Row],[修士]]&lt;&gt;"", 0, IF(登録一覧[[#This Row],[非表示]]&lt;&gt;"",1000,10000)),"-")</f>
        <v>-</v>
      </c>
      <c r="L134">
        <f t="shared" si="5"/>
        <v>247</v>
      </c>
      <c r="M134" t="str">
        <f t="shared" si="7"/>
        <v>-247</v>
      </c>
      <c r="N13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4" t="str">
        <f>IFERROR(IF(登録一覧[[#This Row],[決定]]="yes", 登録一覧[[#This Row],[希望]], "*"), "*")</f>
        <v>*</v>
      </c>
      <c r="P134">
        <f>COUNTIF($O$7:$O134,O134)</f>
        <v>128</v>
      </c>
      <c r="Q134" t="str">
        <f t="shared" si="6"/>
        <v>*128</v>
      </c>
      <c r="R134" t="str">
        <f>IFERROR(登録一覧[[#This Row],[学籍番号]],"-")</f>
        <v>-</v>
      </c>
      <c r="S134" t="str">
        <f>IFERROR(登録一覧[[#This Row],[氏名]],"-")</f>
        <v>-</v>
      </c>
    </row>
    <row r="135" spans="10:19" x14ac:dyDescent="0.4">
      <c r="J135" t="str">
        <f>IFERROR(IF(登録一覧[[#This Row],[希望]]="","-",登録一覧[[#This Row],[希望]]&amp;登録一覧[[#This Row],[学生枠]]),"-")</f>
        <v>-</v>
      </c>
      <c r="K135" t="str">
        <f>IFERROR(ROW()+IF(登録一覧[[#This Row],[修士]]&lt;&gt;"", 0, IF(登録一覧[[#This Row],[非表示]]&lt;&gt;"",1000,10000)),"-")</f>
        <v>-</v>
      </c>
      <c r="L135">
        <f t="shared" si="5"/>
        <v>247</v>
      </c>
      <c r="M135" t="str">
        <f t="shared" si="7"/>
        <v>-247</v>
      </c>
      <c r="N13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5" t="str">
        <f>IFERROR(IF(登録一覧[[#This Row],[決定]]="yes", 登録一覧[[#This Row],[希望]], "*"), "*")</f>
        <v>*</v>
      </c>
      <c r="P135">
        <f>COUNTIF($O$7:$O135,O135)</f>
        <v>129</v>
      </c>
      <c r="Q135" t="str">
        <f t="shared" si="6"/>
        <v>*129</v>
      </c>
      <c r="R135" t="str">
        <f>IFERROR(登録一覧[[#This Row],[学籍番号]],"-")</f>
        <v>-</v>
      </c>
      <c r="S135" t="str">
        <f>IFERROR(登録一覧[[#This Row],[氏名]],"-")</f>
        <v>-</v>
      </c>
    </row>
    <row r="136" spans="10:19" x14ac:dyDescent="0.4">
      <c r="J136" t="str">
        <f>IFERROR(IF(登録一覧[[#This Row],[希望]]="","-",登録一覧[[#This Row],[希望]]&amp;登録一覧[[#This Row],[学生枠]]),"-")</f>
        <v>-</v>
      </c>
      <c r="K136" t="str">
        <f>IFERROR(ROW()+IF(登録一覧[[#This Row],[修士]]&lt;&gt;"", 0, IF(登録一覧[[#This Row],[非表示]]&lt;&gt;"",1000,10000)),"-")</f>
        <v>-</v>
      </c>
      <c r="L136">
        <f t="shared" ref="L136:L199" si="8">COUNTIFS($J$7:$J$256,J136,$K$7:$K$256,"&lt;="&amp;K136)</f>
        <v>247</v>
      </c>
      <c r="M136" t="str">
        <f t="shared" si="7"/>
        <v>-247</v>
      </c>
      <c r="N13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6" t="str">
        <f>IFERROR(IF(登録一覧[[#This Row],[決定]]="yes", 登録一覧[[#This Row],[希望]], "*"), "*")</f>
        <v>*</v>
      </c>
      <c r="P136">
        <f>COUNTIF($O$7:$O136,O136)</f>
        <v>130</v>
      </c>
      <c r="Q136" t="str">
        <f t="shared" ref="Q136:Q199" si="9">O136&amp;P136</f>
        <v>*130</v>
      </c>
      <c r="R136" t="str">
        <f>IFERROR(登録一覧[[#This Row],[学籍番号]],"-")</f>
        <v>-</v>
      </c>
      <c r="S136" t="str">
        <f>IFERROR(登録一覧[[#This Row],[氏名]],"-")</f>
        <v>-</v>
      </c>
    </row>
    <row r="137" spans="10:19" x14ac:dyDescent="0.4">
      <c r="J137" t="str">
        <f>IFERROR(IF(登録一覧[[#This Row],[希望]]="","-",登録一覧[[#This Row],[希望]]&amp;登録一覧[[#This Row],[学生枠]]),"-")</f>
        <v>-</v>
      </c>
      <c r="K137" t="str">
        <f>IFERROR(ROW()+IF(登録一覧[[#This Row],[修士]]&lt;&gt;"", 0, IF(登録一覧[[#This Row],[非表示]]&lt;&gt;"",1000,10000)),"-")</f>
        <v>-</v>
      </c>
      <c r="L137">
        <f t="shared" si="8"/>
        <v>247</v>
      </c>
      <c r="M137" t="str">
        <f t="shared" si="7"/>
        <v>-247</v>
      </c>
      <c r="N13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7" t="str">
        <f>IFERROR(IF(登録一覧[[#This Row],[決定]]="yes", 登録一覧[[#This Row],[希望]], "*"), "*")</f>
        <v>*</v>
      </c>
      <c r="P137">
        <f>COUNTIF($O$7:$O137,O137)</f>
        <v>131</v>
      </c>
      <c r="Q137" t="str">
        <f t="shared" si="9"/>
        <v>*131</v>
      </c>
      <c r="R137" t="str">
        <f>IFERROR(登録一覧[[#This Row],[学籍番号]],"-")</f>
        <v>-</v>
      </c>
      <c r="S137" t="str">
        <f>IFERROR(登録一覧[[#This Row],[氏名]],"-")</f>
        <v>-</v>
      </c>
    </row>
    <row r="138" spans="10:19" x14ac:dyDescent="0.4">
      <c r="J138" t="str">
        <f>IFERROR(IF(登録一覧[[#This Row],[希望]]="","-",登録一覧[[#This Row],[希望]]&amp;登録一覧[[#This Row],[学生枠]]),"-")</f>
        <v>-</v>
      </c>
      <c r="K138" t="str">
        <f>IFERROR(ROW()+IF(登録一覧[[#This Row],[修士]]&lt;&gt;"", 0, IF(登録一覧[[#This Row],[非表示]]&lt;&gt;"",1000,10000)),"-")</f>
        <v>-</v>
      </c>
      <c r="L138">
        <f t="shared" si="8"/>
        <v>247</v>
      </c>
      <c r="M138" t="str">
        <f t="shared" si="7"/>
        <v>-247</v>
      </c>
      <c r="N13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8" t="str">
        <f>IFERROR(IF(登録一覧[[#This Row],[決定]]="yes", 登録一覧[[#This Row],[希望]], "*"), "*")</f>
        <v>*</v>
      </c>
      <c r="P138">
        <f>COUNTIF($O$7:$O138,O138)</f>
        <v>132</v>
      </c>
      <c r="Q138" t="str">
        <f t="shared" si="9"/>
        <v>*132</v>
      </c>
      <c r="R138" t="str">
        <f>IFERROR(登録一覧[[#This Row],[学籍番号]],"-")</f>
        <v>-</v>
      </c>
      <c r="S138" t="str">
        <f>IFERROR(登録一覧[[#This Row],[氏名]],"-")</f>
        <v>-</v>
      </c>
    </row>
    <row r="139" spans="10:19" x14ac:dyDescent="0.4">
      <c r="J139" t="str">
        <f>IFERROR(IF(登録一覧[[#This Row],[希望]]="","-",登録一覧[[#This Row],[希望]]&amp;登録一覧[[#This Row],[学生枠]]),"-")</f>
        <v>-</v>
      </c>
      <c r="K139" t="str">
        <f>IFERROR(ROW()+IF(登録一覧[[#This Row],[修士]]&lt;&gt;"", 0, IF(登録一覧[[#This Row],[非表示]]&lt;&gt;"",1000,10000)),"-")</f>
        <v>-</v>
      </c>
      <c r="L139">
        <f t="shared" si="8"/>
        <v>247</v>
      </c>
      <c r="M139" t="str">
        <f t="shared" si="7"/>
        <v>-247</v>
      </c>
      <c r="N13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9" t="str">
        <f>IFERROR(IF(登録一覧[[#This Row],[決定]]="yes", 登録一覧[[#This Row],[希望]], "*"), "*")</f>
        <v>*</v>
      </c>
      <c r="P139">
        <f>COUNTIF($O$7:$O139,O139)</f>
        <v>133</v>
      </c>
      <c r="Q139" t="str">
        <f t="shared" si="9"/>
        <v>*133</v>
      </c>
      <c r="R139" t="str">
        <f>IFERROR(登録一覧[[#This Row],[学籍番号]],"-")</f>
        <v>-</v>
      </c>
      <c r="S139" t="str">
        <f>IFERROR(登録一覧[[#This Row],[氏名]],"-")</f>
        <v>-</v>
      </c>
    </row>
    <row r="140" spans="10:19" x14ac:dyDescent="0.4">
      <c r="J140" t="str">
        <f>IFERROR(IF(登録一覧[[#This Row],[希望]]="","-",登録一覧[[#This Row],[希望]]&amp;登録一覧[[#This Row],[学生枠]]),"-")</f>
        <v>-</v>
      </c>
      <c r="K140" t="str">
        <f>IFERROR(ROW()+IF(登録一覧[[#This Row],[修士]]&lt;&gt;"", 0, IF(登録一覧[[#This Row],[非表示]]&lt;&gt;"",1000,10000)),"-")</f>
        <v>-</v>
      </c>
      <c r="L140">
        <f t="shared" si="8"/>
        <v>247</v>
      </c>
      <c r="M140" t="str">
        <f t="shared" si="7"/>
        <v>-247</v>
      </c>
      <c r="N14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0" t="str">
        <f>IFERROR(IF(登録一覧[[#This Row],[決定]]="yes", 登録一覧[[#This Row],[希望]], "*"), "*")</f>
        <v>*</v>
      </c>
      <c r="P140">
        <f>COUNTIF($O$7:$O140,O140)</f>
        <v>134</v>
      </c>
      <c r="Q140" t="str">
        <f t="shared" si="9"/>
        <v>*134</v>
      </c>
      <c r="R140" t="str">
        <f>IFERROR(登録一覧[[#This Row],[学籍番号]],"-")</f>
        <v>-</v>
      </c>
      <c r="S140" t="str">
        <f>IFERROR(登録一覧[[#This Row],[氏名]],"-")</f>
        <v>-</v>
      </c>
    </row>
    <row r="141" spans="10:19" x14ac:dyDescent="0.4">
      <c r="J141" t="str">
        <f>IFERROR(IF(登録一覧[[#This Row],[希望]]="","-",登録一覧[[#This Row],[希望]]&amp;登録一覧[[#This Row],[学生枠]]),"-")</f>
        <v>-</v>
      </c>
      <c r="K141" t="str">
        <f>IFERROR(ROW()+IF(登録一覧[[#This Row],[修士]]&lt;&gt;"", 0, IF(登録一覧[[#This Row],[非表示]]&lt;&gt;"",1000,10000)),"-")</f>
        <v>-</v>
      </c>
      <c r="L141">
        <f t="shared" si="8"/>
        <v>247</v>
      </c>
      <c r="M141" t="str">
        <f t="shared" si="7"/>
        <v>-247</v>
      </c>
      <c r="N14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1" t="str">
        <f>IFERROR(IF(登録一覧[[#This Row],[決定]]="yes", 登録一覧[[#This Row],[希望]], "*"), "*")</f>
        <v>*</v>
      </c>
      <c r="P141">
        <f>COUNTIF($O$7:$O141,O141)</f>
        <v>135</v>
      </c>
      <c r="Q141" t="str">
        <f t="shared" si="9"/>
        <v>*135</v>
      </c>
      <c r="R141" t="str">
        <f>IFERROR(登録一覧[[#This Row],[学籍番号]],"-")</f>
        <v>-</v>
      </c>
      <c r="S141" t="str">
        <f>IFERROR(登録一覧[[#This Row],[氏名]],"-")</f>
        <v>-</v>
      </c>
    </row>
    <row r="142" spans="10:19" x14ac:dyDescent="0.4">
      <c r="J142" t="str">
        <f>IFERROR(IF(登録一覧[[#This Row],[希望]]="","-",登録一覧[[#This Row],[希望]]&amp;登録一覧[[#This Row],[学生枠]]),"-")</f>
        <v>-</v>
      </c>
      <c r="K142" t="str">
        <f>IFERROR(ROW()+IF(登録一覧[[#This Row],[修士]]&lt;&gt;"", 0, IF(登録一覧[[#This Row],[非表示]]&lt;&gt;"",1000,10000)),"-")</f>
        <v>-</v>
      </c>
      <c r="L142">
        <f t="shared" si="8"/>
        <v>247</v>
      </c>
      <c r="M142" t="str">
        <f t="shared" si="7"/>
        <v>-247</v>
      </c>
      <c r="N14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2" t="str">
        <f>IFERROR(IF(登録一覧[[#This Row],[決定]]="yes", 登録一覧[[#This Row],[希望]], "*"), "*")</f>
        <v>*</v>
      </c>
      <c r="P142">
        <f>COUNTIF($O$7:$O142,O142)</f>
        <v>136</v>
      </c>
      <c r="Q142" t="str">
        <f t="shared" si="9"/>
        <v>*136</v>
      </c>
      <c r="R142" t="str">
        <f>IFERROR(登録一覧[[#This Row],[学籍番号]],"-")</f>
        <v>-</v>
      </c>
      <c r="S142" t="str">
        <f>IFERROR(登録一覧[[#This Row],[氏名]],"-")</f>
        <v>-</v>
      </c>
    </row>
    <row r="143" spans="10:19" x14ac:dyDescent="0.4">
      <c r="J143" t="str">
        <f>IFERROR(IF(登録一覧[[#This Row],[希望]]="","-",登録一覧[[#This Row],[希望]]&amp;登録一覧[[#This Row],[学生枠]]),"-")</f>
        <v>-</v>
      </c>
      <c r="K143" t="str">
        <f>IFERROR(ROW()+IF(登録一覧[[#This Row],[修士]]&lt;&gt;"", 0, IF(登録一覧[[#This Row],[非表示]]&lt;&gt;"",1000,10000)),"-")</f>
        <v>-</v>
      </c>
      <c r="L143">
        <f t="shared" si="8"/>
        <v>247</v>
      </c>
      <c r="M143" t="str">
        <f t="shared" si="7"/>
        <v>-247</v>
      </c>
      <c r="N14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3" t="str">
        <f>IFERROR(IF(登録一覧[[#This Row],[決定]]="yes", 登録一覧[[#This Row],[希望]], "*"), "*")</f>
        <v>*</v>
      </c>
      <c r="P143">
        <f>COUNTIF($O$7:$O143,O143)</f>
        <v>137</v>
      </c>
      <c r="Q143" t="str">
        <f t="shared" si="9"/>
        <v>*137</v>
      </c>
      <c r="R143" t="str">
        <f>IFERROR(登録一覧[[#This Row],[学籍番号]],"-")</f>
        <v>-</v>
      </c>
      <c r="S143" t="str">
        <f>IFERROR(登録一覧[[#This Row],[氏名]],"-")</f>
        <v>-</v>
      </c>
    </row>
    <row r="144" spans="10:19" x14ac:dyDescent="0.4">
      <c r="J144" t="str">
        <f>IFERROR(IF(登録一覧[[#This Row],[希望]]="","-",登録一覧[[#This Row],[希望]]&amp;登録一覧[[#This Row],[学生枠]]),"-")</f>
        <v>-</v>
      </c>
      <c r="K144" t="str">
        <f>IFERROR(ROW()+IF(登録一覧[[#This Row],[修士]]&lt;&gt;"", 0, IF(登録一覧[[#This Row],[非表示]]&lt;&gt;"",1000,10000)),"-")</f>
        <v>-</v>
      </c>
      <c r="L144">
        <f t="shared" si="8"/>
        <v>247</v>
      </c>
      <c r="M144" t="str">
        <f t="shared" si="7"/>
        <v>-247</v>
      </c>
      <c r="N14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4" t="str">
        <f>IFERROR(IF(登録一覧[[#This Row],[決定]]="yes", 登録一覧[[#This Row],[希望]], "*"), "*")</f>
        <v>*</v>
      </c>
      <c r="P144">
        <f>COUNTIF($O$7:$O144,O144)</f>
        <v>138</v>
      </c>
      <c r="Q144" t="str">
        <f t="shared" si="9"/>
        <v>*138</v>
      </c>
      <c r="R144" t="str">
        <f>IFERROR(登録一覧[[#This Row],[学籍番号]],"-")</f>
        <v>-</v>
      </c>
      <c r="S144" t="str">
        <f>IFERROR(登録一覧[[#This Row],[氏名]],"-")</f>
        <v>-</v>
      </c>
    </row>
    <row r="145" spans="10:19" x14ac:dyDescent="0.4">
      <c r="J145" t="str">
        <f>IFERROR(IF(登録一覧[[#This Row],[希望]]="","-",登録一覧[[#This Row],[希望]]&amp;登録一覧[[#This Row],[学生枠]]),"-")</f>
        <v>-</v>
      </c>
      <c r="K145" t="str">
        <f>IFERROR(ROW()+IF(登録一覧[[#This Row],[修士]]&lt;&gt;"", 0, IF(登録一覧[[#This Row],[非表示]]&lt;&gt;"",1000,10000)),"-")</f>
        <v>-</v>
      </c>
      <c r="L145">
        <f t="shared" si="8"/>
        <v>247</v>
      </c>
      <c r="M145" t="str">
        <f t="shared" si="7"/>
        <v>-247</v>
      </c>
      <c r="N14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5" t="str">
        <f>IFERROR(IF(登録一覧[[#This Row],[決定]]="yes", 登録一覧[[#This Row],[希望]], "*"), "*")</f>
        <v>*</v>
      </c>
      <c r="P145">
        <f>COUNTIF($O$7:$O145,O145)</f>
        <v>139</v>
      </c>
      <c r="Q145" t="str">
        <f t="shared" si="9"/>
        <v>*139</v>
      </c>
      <c r="R145" t="str">
        <f>IFERROR(登録一覧[[#This Row],[学籍番号]],"-")</f>
        <v>-</v>
      </c>
      <c r="S145" t="str">
        <f>IFERROR(登録一覧[[#This Row],[氏名]],"-")</f>
        <v>-</v>
      </c>
    </row>
    <row r="146" spans="10:19" x14ac:dyDescent="0.4">
      <c r="J146" t="str">
        <f>IFERROR(IF(登録一覧[[#This Row],[希望]]="","-",登録一覧[[#This Row],[希望]]&amp;登録一覧[[#This Row],[学生枠]]),"-")</f>
        <v>-</v>
      </c>
      <c r="K146" t="str">
        <f>IFERROR(ROW()+IF(登録一覧[[#This Row],[修士]]&lt;&gt;"", 0, IF(登録一覧[[#This Row],[非表示]]&lt;&gt;"",1000,10000)),"-")</f>
        <v>-</v>
      </c>
      <c r="L146">
        <f t="shared" si="8"/>
        <v>247</v>
      </c>
      <c r="M146" t="str">
        <f t="shared" si="7"/>
        <v>-247</v>
      </c>
      <c r="N14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6" t="str">
        <f>IFERROR(IF(登録一覧[[#This Row],[決定]]="yes", 登録一覧[[#This Row],[希望]], "*"), "*")</f>
        <v>*</v>
      </c>
      <c r="P146">
        <f>COUNTIF($O$7:$O146,O146)</f>
        <v>140</v>
      </c>
      <c r="Q146" t="str">
        <f t="shared" si="9"/>
        <v>*140</v>
      </c>
      <c r="R146" t="str">
        <f>IFERROR(登録一覧[[#This Row],[学籍番号]],"-")</f>
        <v>-</v>
      </c>
      <c r="S146" t="str">
        <f>IFERROR(登録一覧[[#This Row],[氏名]],"-")</f>
        <v>-</v>
      </c>
    </row>
    <row r="147" spans="10:19" x14ac:dyDescent="0.4">
      <c r="J147" t="str">
        <f>IFERROR(IF(登録一覧[[#This Row],[希望]]="","-",登録一覧[[#This Row],[希望]]&amp;登録一覧[[#This Row],[学生枠]]),"-")</f>
        <v>-</v>
      </c>
      <c r="K147" t="str">
        <f>IFERROR(ROW()+IF(登録一覧[[#This Row],[修士]]&lt;&gt;"", 0, IF(登録一覧[[#This Row],[非表示]]&lt;&gt;"",1000,10000)),"-")</f>
        <v>-</v>
      </c>
      <c r="L147">
        <f t="shared" si="8"/>
        <v>247</v>
      </c>
      <c r="M147" t="str">
        <f t="shared" si="7"/>
        <v>-247</v>
      </c>
      <c r="N14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7" t="str">
        <f>IFERROR(IF(登録一覧[[#This Row],[決定]]="yes", 登録一覧[[#This Row],[希望]], "*"), "*")</f>
        <v>*</v>
      </c>
      <c r="P147">
        <f>COUNTIF($O$7:$O147,O147)</f>
        <v>141</v>
      </c>
      <c r="Q147" t="str">
        <f t="shared" si="9"/>
        <v>*141</v>
      </c>
      <c r="R147" t="str">
        <f>IFERROR(登録一覧[[#This Row],[学籍番号]],"-")</f>
        <v>-</v>
      </c>
      <c r="S147" t="str">
        <f>IFERROR(登録一覧[[#This Row],[氏名]],"-")</f>
        <v>-</v>
      </c>
    </row>
    <row r="148" spans="10:19" x14ac:dyDescent="0.4">
      <c r="J148" t="str">
        <f>IFERROR(IF(登録一覧[[#This Row],[希望]]="","-",登録一覧[[#This Row],[希望]]&amp;登録一覧[[#This Row],[学生枠]]),"-")</f>
        <v>-</v>
      </c>
      <c r="K148" t="str">
        <f>IFERROR(ROW()+IF(登録一覧[[#This Row],[修士]]&lt;&gt;"", 0, IF(登録一覧[[#This Row],[非表示]]&lt;&gt;"",1000,10000)),"-")</f>
        <v>-</v>
      </c>
      <c r="L148">
        <f t="shared" si="8"/>
        <v>247</v>
      </c>
      <c r="M148" t="str">
        <f t="shared" si="7"/>
        <v>-247</v>
      </c>
      <c r="N14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8" t="str">
        <f>IFERROR(IF(登録一覧[[#This Row],[決定]]="yes", 登録一覧[[#This Row],[希望]], "*"), "*")</f>
        <v>*</v>
      </c>
      <c r="P148">
        <f>COUNTIF($O$7:$O148,O148)</f>
        <v>142</v>
      </c>
      <c r="Q148" t="str">
        <f t="shared" si="9"/>
        <v>*142</v>
      </c>
      <c r="R148" t="str">
        <f>IFERROR(登録一覧[[#This Row],[学籍番号]],"-")</f>
        <v>-</v>
      </c>
      <c r="S148" t="str">
        <f>IFERROR(登録一覧[[#This Row],[氏名]],"-")</f>
        <v>-</v>
      </c>
    </row>
    <row r="149" spans="10:19" x14ac:dyDescent="0.4">
      <c r="J149" t="str">
        <f>IFERROR(IF(登録一覧[[#This Row],[希望]]="","-",登録一覧[[#This Row],[希望]]&amp;登録一覧[[#This Row],[学生枠]]),"-")</f>
        <v>-</v>
      </c>
      <c r="K149" t="str">
        <f>IFERROR(ROW()+IF(登録一覧[[#This Row],[修士]]&lt;&gt;"", 0, IF(登録一覧[[#This Row],[非表示]]&lt;&gt;"",1000,10000)),"-")</f>
        <v>-</v>
      </c>
      <c r="L149">
        <f t="shared" si="8"/>
        <v>247</v>
      </c>
      <c r="M149" t="str">
        <f t="shared" si="7"/>
        <v>-247</v>
      </c>
      <c r="N14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9" t="str">
        <f>IFERROR(IF(登録一覧[[#This Row],[決定]]="yes", 登録一覧[[#This Row],[希望]], "*"), "*")</f>
        <v>*</v>
      </c>
      <c r="P149">
        <f>COUNTIF($O$7:$O149,O149)</f>
        <v>143</v>
      </c>
      <c r="Q149" t="str">
        <f t="shared" si="9"/>
        <v>*143</v>
      </c>
      <c r="R149" t="str">
        <f>IFERROR(登録一覧[[#This Row],[学籍番号]],"-")</f>
        <v>-</v>
      </c>
      <c r="S149" t="str">
        <f>IFERROR(登録一覧[[#This Row],[氏名]],"-")</f>
        <v>-</v>
      </c>
    </row>
    <row r="150" spans="10:19" x14ac:dyDescent="0.4">
      <c r="J150" t="str">
        <f>IFERROR(IF(登録一覧[[#This Row],[希望]]="","-",登録一覧[[#This Row],[希望]]&amp;登録一覧[[#This Row],[学生枠]]),"-")</f>
        <v>-</v>
      </c>
      <c r="K150" t="str">
        <f>IFERROR(ROW()+IF(登録一覧[[#This Row],[修士]]&lt;&gt;"", 0, IF(登録一覧[[#This Row],[非表示]]&lt;&gt;"",1000,10000)),"-")</f>
        <v>-</v>
      </c>
      <c r="L150">
        <f t="shared" si="8"/>
        <v>247</v>
      </c>
      <c r="M150" t="str">
        <f t="shared" si="7"/>
        <v>-247</v>
      </c>
      <c r="N15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0" t="str">
        <f>IFERROR(IF(登録一覧[[#This Row],[決定]]="yes", 登録一覧[[#This Row],[希望]], "*"), "*")</f>
        <v>*</v>
      </c>
      <c r="P150">
        <f>COUNTIF($O$7:$O150,O150)</f>
        <v>144</v>
      </c>
      <c r="Q150" t="str">
        <f t="shared" si="9"/>
        <v>*144</v>
      </c>
      <c r="R150" t="str">
        <f>IFERROR(登録一覧[[#This Row],[学籍番号]],"-")</f>
        <v>-</v>
      </c>
      <c r="S150" t="str">
        <f>IFERROR(登録一覧[[#This Row],[氏名]],"-")</f>
        <v>-</v>
      </c>
    </row>
    <row r="151" spans="10:19" x14ac:dyDescent="0.4">
      <c r="J151" t="str">
        <f>IFERROR(IF(登録一覧[[#This Row],[希望]]="","-",登録一覧[[#This Row],[希望]]&amp;登録一覧[[#This Row],[学生枠]]),"-")</f>
        <v>-</v>
      </c>
      <c r="K151" t="str">
        <f>IFERROR(ROW()+IF(登録一覧[[#This Row],[修士]]&lt;&gt;"", 0, IF(登録一覧[[#This Row],[非表示]]&lt;&gt;"",1000,10000)),"-")</f>
        <v>-</v>
      </c>
      <c r="L151">
        <f t="shared" si="8"/>
        <v>247</v>
      </c>
      <c r="M151" t="str">
        <f t="shared" si="7"/>
        <v>-247</v>
      </c>
      <c r="N15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1" t="str">
        <f>IFERROR(IF(登録一覧[[#This Row],[決定]]="yes", 登録一覧[[#This Row],[希望]], "*"), "*")</f>
        <v>*</v>
      </c>
      <c r="P151">
        <f>COUNTIF($O$7:$O151,O151)</f>
        <v>145</v>
      </c>
      <c r="Q151" t="str">
        <f t="shared" si="9"/>
        <v>*145</v>
      </c>
      <c r="R151" t="str">
        <f>IFERROR(登録一覧[[#This Row],[学籍番号]],"-")</f>
        <v>-</v>
      </c>
      <c r="S151" t="str">
        <f>IFERROR(登録一覧[[#This Row],[氏名]],"-")</f>
        <v>-</v>
      </c>
    </row>
    <row r="152" spans="10:19" x14ac:dyDescent="0.4">
      <c r="J152" t="str">
        <f>IFERROR(IF(登録一覧[[#This Row],[希望]]="","-",登録一覧[[#This Row],[希望]]&amp;登録一覧[[#This Row],[学生枠]]),"-")</f>
        <v>-</v>
      </c>
      <c r="K152" t="str">
        <f>IFERROR(ROW()+IF(登録一覧[[#This Row],[修士]]&lt;&gt;"", 0, IF(登録一覧[[#This Row],[非表示]]&lt;&gt;"",1000,10000)),"-")</f>
        <v>-</v>
      </c>
      <c r="L152">
        <f t="shared" si="8"/>
        <v>247</v>
      </c>
      <c r="M152" t="str">
        <f t="shared" ref="M152:M215" si="10">J152&amp;L152</f>
        <v>-247</v>
      </c>
      <c r="N15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2" t="str">
        <f>IFERROR(IF(登録一覧[[#This Row],[決定]]="yes", 登録一覧[[#This Row],[希望]], "*"), "*")</f>
        <v>*</v>
      </c>
      <c r="P152">
        <f>COUNTIF($O$7:$O152,O152)</f>
        <v>146</v>
      </c>
      <c r="Q152" t="str">
        <f t="shared" si="9"/>
        <v>*146</v>
      </c>
      <c r="R152" t="str">
        <f>IFERROR(登録一覧[[#This Row],[学籍番号]],"-")</f>
        <v>-</v>
      </c>
      <c r="S152" t="str">
        <f>IFERROR(登録一覧[[#This Row],[氏名]],"-")</f>
        <v>-</v>
      </c>
    </row>
    <row r="153" spans="10:19" x14ac:dyDescent="0.4">
      <c r="J153" t="str">
        <f>IFERROR(IF(登録一覧[[#This Row],[希望]]="","-",登録一覧[[#This Row],[希望]]&amp;登録一覧[[#This Row],[学生枠]]),"-")</f>
        <v>-</v>
      </c>
      <c r="K153" t="str">
        <f>IFERROR(ROW()+IF(登録一覧[[#This Row],[修士]]&lt;&gt;"", 0, IF(登録一覧[[#This Row],[非表示]]&lt;&gt;"",1000,10000)),"-")</f>
        <v>-</v>
      </c>
      <c r="L153">
        <f t="shared" si="8"/>
        <v>247</v>
      </c>
      <c r="M153" t="str">
        <f t="shared" si="10"/>
        <v>-247</v>
      </c>
      <c r="N15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3" t="str">
        <f>IFERROR(IF(登録一覧[[#This Row],[決定]]="yes", 登録一覧[[#This Row],[希望]], "*"), "*")</f>
        <v>*</v>
      </c>
      <c r="P153">
        <f>COUNTIF($O$7:$O153,O153)</f>
        <v>147</v>
      </c>
      <c r="Q153" t="str">
        <f t="shared" si="9"/>
        <v>*147</v>
      </c>
      <c r="R153" t="str">
        <f>IFERROR(登録一覧[[#This Row],[学籍番号]],"-")</f>
        <v>-</v>
      </c>
      <c r="S153" t="str">
        <f>IFERROR(登録一覧[[#This Row],[氏名]],"-")</f>
        <v>-</v>
      </c>
    </row>
    <row r="154" spans="10:19" x14ac:dyDescent="0.4">
      <c r="J154" t="str">
        <f>IFERROR(IF(登録一覧[[#This Row],[希望]]="","-",登録一覧[[#This Row],[希望]]&amp;登録一覧[[#This Row],[学生枠]]),"-")</f>
        <v>-</v>
      </c>
      <c r="K154" t="str">
        <f>IFERROR(ROW()+IF(登録一覧[[#This Row],[修士]]&lt;&gt;"", 0, IF(登録一覧[[#This Row],[非表示]]&lt;&gt;"",1000,10000)),"-")</f>
        <v>-</v>
      </c>
      <c r="L154">
        <f t="shared" si="8"/>
        <v>247</v>
      </c>
      <c r="M154" t="str">
        <f t="shared" si="10"/>
        <v>-247</v>
      </c>
      <c r="N15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4" t="str">
        <f>IFERROR(IF(登録一覧[[#This Row],[決定]]="yes", 登録一覧[[#This Row],[希望]], "*"), "*")</f>
        <v>*</v>
      </c>
      <c r="P154">
        <f>COUNTIF($O$7:$O154,O154)</f>
        <v>148</v>
      </c>
      <c r="Q154" t="str">
        <f t="shared" si="9"/>
        <v>*148</v>
      </c>
      <c r="R154" t="str">
        <f>IFERROR(登録一覧[[#This Row],[学籍番号]],"-")</f>
        <v>-</v>
      </c>
      <c r="S154" t="str">
        <f>IFERROR(登録一覧[[#This Row],[氏名]],"-")</f>
        <v>-</v>
      </c>
    </row>
    <row r="155" spans="10:19" x14ac:dyDescent="0.4">
      <c r="J155" t="str">
        <f>IFERROR(IF(登録一覧[[#This Row],[希望]]="","-",登録一覧[[#This Row],[希望]]&amp;登録一覧[[#This Row],[学生枠]]),"-")</f>
        <v>-</v>
      </c>
      <c r="K155" t="str">
        <f>IFERROR(ROW()+IF(登録一覧[[#This Row],[修士]]&lt;&gt;"", 0, IF(登録一覧[[#This Row],[非表示]]&lt;&gt;"",1000,10000)),"-")</f>
        <v>-</v>
      </c>
      <c r="L155">
        <f t="shared" si="8"/>
        <v>247</v>
      </c>
      <c r="M155" t="str">
        <f t="shared" si="10"/>
        <v>-247</v>
      </c>
      <c r="N15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5" t="str">
        <f>IFERROR(IF(登録一覧[[#This Row],[決定]]="yes", 登録一覧[[#This Row],[希望]], "*"), "*")</f>
        <v>*</v>
      </c>
      <c r="P155">
        <f>COUNTIF($O$7:$O155,O155)</f>
        <v>149</v>
      </c>
      <c r="Q155" t="str">
        <f t="shared" si="9"/>
        <v>*149</v>
      </c>
      <c r="R155" t="str">
        <f>IFERROR(登録一覧[[#This Row],[学籍番号]],"-")</f>
        <v>-</v>
      </c>
      <c r="S155" t="str">
        <f>IFERROR(登録一覧[[#This Row],[氏名]],"-")</f>
        <v>-</v>
      </c>
    </row>
    <row r="156" spans="10:19" x14ac:dyDescent="0.4">
      <c r="J156" t="str">
        <f>IFERROR(IF(登録一覧[[#This Row],[希望]]="","-",登録一覧[[#This Row],[希望]]&amp;登録一覧[[#This Row],[学生枠]]),"-")</f>
        <v>-</v>
      </c>
      <c r="K156" t="str">
        <f>IFERROR(ROW()+IF(登録一覧[[#This Row],[修士]]&lt;&gt;"", 0, IF(登録一覧[[#This Row],[非表示]]&lt;&gt;"",1000,10000)),"-")</f>
        <v>-</v>
      </c>
      <c r="L156">
        <f t="shared" si="8"/>
        <v>247</v>
      </c>
      <c r="M156" t="str">
        <f t="shared" si="10"/>
        <v>-247</v>
      </c>
      <c r="N15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6" t="str">
        <f>IFERROR(IF(登録一覧[[#This Row],[決定]]="yes", 登録一覧[[#This Row],[希望]], "*"), "*")</f>
        <v>*</v>
      </c>
      <c r="P156">
        <f>COUNTIF($O$7:$O156,O156)</f>
        <v>150</v>
      </c>
      <c r="Q156" t="str">
        <f t="shared" si="9"/>
        <v>*150</v>
      </c>
      <c r="R156" t="str">
        <f>IFERROR(登録一覧[[#This Row],[学籍番号]],"-")</f>
        <v>-</v>
      </c>
      <c r="S156" t="str">
        <f>IFERROR(登録一覧[[#This Row],[氏名]],"-")</f>
        <v>-</v>
      </c>
    </row>
    <row r="157" spans="10:19" x14ac:dyDescent="0.4">
      <c r="J157" t="str">
        <f>IFERROR(IF(登録一覧[[#This Row],[希望]]="","-",登録一覧[[#This Row],[希望]]&amp;登録一覧[[#This Row],[学生枠]]),"-")</f>
        <v>-</v>
      </c>
      <c r="K157" t="str">
        <f>IFERROR(ROW()+IF(登録一覧[[#This Row],[修士]]&lt;&gt;"", 0, IF(登録一覧[[#This Row],[非表示]]&lt;&gt;"",1000,10000)),"-")</f>
        <v>-</v>
      </c>
      <c r="L157">
        <f t="shared" si="8"/>
        <v>247</v>
      </c>
      <c r="M157" t="str">
        <f t="shared" si="10"/>
        <v>-247</v>
      </c>
      <c r="N15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7" t="str">
        <f>IFERROR(IF(登録一覧[[#This Row],[決定]]="yes", 登録一覧[[#This Row],[希望]], "*"), "*")</f>
        <v>*</v>
      </c>
      <c r="P157">
        <f>COUNTIF($O$7:$O157,O157)</f>
        <v>151</v>
      </c>
      <c r="Q157" t="str">
        <f t="shared" si="9"/>
        <v>*151</v>
      </c>
      <c r="R157" t="str">
        <f>IFERROR(登録一覧[[#This Row],[学籍番号]],"-")</f>
        <v>-</v>
      </c>
      <c r="S157" t="str">
        <f>IFERROR(登録一覧[[#This Row],[氏名]],"-")</f>
        <v>-</v>
      </c>
    </row>
    <row r="158" spans="10:19" x14ac:dyDescent="0.4">
      <c r="J158" t="str">
        <f>IFERROR(IF(登録一覧[[#This Row],[希望]]="","-",登録一覧[[#This Row],[希望]]&amp;登録一覧[[#This Row],[学生枠]]),"-")</f>
        <v>-</v>
      </c>
      <c r="K158" t="str">
        <f>IFERROR(ROW()+IF(登録一覧[[#This Row],[修士]]&lt;&gt;"", 0, IF(登録一覧[[#This Row],[非表示]]&lt;&gt;"",1000,10000)),"-")</f>
        <v>-</v>
      </c>
      <c r="L158">
        <f t="shared" si="8"/>
        <v>247</v>
      </c>
      <c r="M158" t="str">
        <f t="shared" si="10"/>
        <v>-247</v>
      </c>
      <c r="N15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8" t="str">
        <f>IFERROR(IF(登録一覧[[#This Row],[決定]]="yes", 登録一覧[[#This Row],[希望]], "*"), "*")</f>
        <v>*</v>
      </c>
      <c r="P158">
        <f>COUNTIF($O$7:$O158,O158)</f>
        <v>152</v>
      </c>
      <c r="Q158" t="str">
        <f t="shared" si="9"/>
        <v>*152</v>
      </c>
      <c r="R158" t="str">
        <f>IFERROR(登録一覧[[#This Row],[学籍番号]],"-")</f>
        <v>-</v>
      </c>
      <c r="S158" t="str">
        <f>IFERROR(登録一覧[[#This Row],[氏名]],"-")</f>
        <v>-</v>
      </c>
    </row>
    <row r="159" spans="10:19" x14ac:dyDescent="0.4">
      <c r="J159" t="str">
        <f>IFERROR(IF(登録一覧[[#This Row],[希望]]="","-",登録一覧[[#This Row],[希望]]&amp;登録一覧[[#This Row],[学生枠]]),"-")</f>
        <v>-</v>
      </c>
      <c r="K159" t="str">
        <f>IFERROR(ROW()+IF(登録一覧[[#This Row],[修士]]&lt;&gt;"", 0, IF(登録一覧[[#This Row],[非表示]]&lt;&gt;"",1000,10000)),"-")</f>
        <v>-</v>
      </c>
      <c r="L159">
        <f t="shared" si="8"/>
        <v>247</v>
      </c>
      <c r="M159" t="str">
        <f t="shared" si="10"/>
        <v>-247</v>
      </c>
      <c r="N15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9" t="str">
        <f>IFERROR(IF(登録一覧[[#This Row],[決定]]="yes", 登録一覧[[#This Row],[希望]], "*"), "*")</f>
        <v>*</v>
      </c>
      <c r="P159">
        <f>COUNTIF($O$7:$O159,O159)</f>
        <v>153</v>
      </c>
      <c r="Q159" t="str">
        <f t="shared" si="9"/>
        <v>*153</v>
      </c>
      <c r="R159" t="str">
        <f>IFERROR(登録一覧[[#This Row],[学籍番号]],"-")</f>
        <v>-</v>
      </c>
      <c r="S159" t="str">
        <f>IFERROR(登録一覧[[#This Row],[氏名]],"-")</f>
        <v>-</v>
      </c>
    </row>
    <row r="160" spans="10:19" x14ac:dyDescent="0.4">
      <c r="J160" t="str">
        <f>IFERROR(IF(登録一覧[[#This Row],[希望]]="","-",登録一覧[[#This Row],[希望]]&amp;登録一覧[[#This Row],[学生枠]]),"-")</f>
        <v>-</v>
      </c>
      <c r="K160" t="str">
        <f>IFERROR(ROW()+IF(登録一覧[[#This Row],[修士]]&lt;&gt;"", 0, IF(登録一覧[[#This Row],[非表示]]&lt;&gt;"",1000,10000)),"-")</f>
        <v>-</v>
      </c>
      <c r="L160">
        <f t="shared" si="8"/>
        <v>247</v>
      </c>
      <c r="M160" t="str">
        <f t="shared" si="10"/>
        <v>-247</v>
      </c>
      <c r="N16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0" t="str">
        <f>IFERROR(IF(登録一覧[[#This Row],[決定]]="yes", 登録一覧[[#This Row],[希望]], "*"), "*")</f>
        <v>*</v>
      </c>
      <c r="P160">
        <f>COUNTIF($O$7:$O160,O160)</f>
        <v>154</v>
      </c>
      <c r="Q160" t="str">
        <f t="shared" si="9"/>
        <v>*154</v>
      </c>
      <c r="R160" t="str">
        <f>IFERROR(登録一覧[[#This Row],[学籍番号]],"-")</f>
        <v>-</v>
      </c>
      <c r="S160" t="str">
        <f>IFERROR(登録一覧[[#This Row],[氏名]],"-")</f>
        <v>-</v>
      </c>
    </row>
    <row r="161" spans="10:19" x14ac:dyDescent="0.4">
      <c r="J161" t="str">
        <f>IFERROR(IF(登録一覧[[#This Row],[希望]]="","-",登録一覧[[#This Row],[希望]]&amp;登録一覧[[#This Row],[学生枠]]),"-")</f>
        <v>-</v>
      </c>
      <c r="K161" t="str">
        <f>IFERROR(ROW()+IF(登録一覧[[#This Row],[修士]]&lt;&gt;"", 0, IF(登録一覧[[#This Row],[非表示]]&lt;&gt;"",1000,10000)),"-")</f>
        <v>-</v>
      </c>
      <c r="L161">
        <f t="shared" si="8"/>
        <v>247</v>
      </c>
      <c r="M161" t="str">
        <f t="shared" si="10"/>
        <v>-247</v>
      </c>
      <c r="N16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1" t="str">
        <f>IFERROR(IF(登録一覧[[#This Row],[決定]]="yes", 登録一覧[[#This Row],[希望]], "*"), "*")</f>
        <v>*</v>
      </c>
      <c r="P161">
        <f>COUNTIF($O$7:$O161,O161)</f>
        <v>155</v>
      </c>
      <c r="Q161" t="str">
        <f t="shared" si="9"/>
        <v>*155</v>
      </c>
      <c r="R161" t="str">
        <f>IFERROR(登録一覧[[#This Row],[学籍番号]],"-")</f>
        <v>-</v>
      </c>
      <c r="S161" t="str">
        <f>IFERROR(登録一覧[[#This Row],[氏名]],"-")</f>
        <v>-</v>
      </c>
    </row>
    <row r="162" spans="10:19" x14ac:dyDescent="0.4">
      <c r="J162" t="str">
        <f>IFERROR(IF(登録一覧[[#This Row],[希望]]="","-",登録一覧[[#This Row],[希望]]&amp;登録一覧[[#This Row],[学生枠]]),"-")</f>
        <v>-</v>
      </c>
      <c r="K162" t="str">
        <f>IFERROR(ROW()+IF(登録一覧[[#This Row],[修士]]&lt;&gt;"", 0, IF(登録一覧[[#This Row],[非表示]]&lt;&gt;"",1000,10000)),"-")</f>
        <v>-</v>
      </c>
      <c r="L162">
        <f t="shared" si="8"/>
        <v>247</v>
      </c>
      <c r="M162" t="str">
        <f t="shared" si="10"/>
        <v>-247</v>
      </c>
      <c r="N16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2" t="str">
        <f>IFERROR(IF(登録一覧[[#This Row],[決定]]="yes", 登録一覧[[#This Row],[希望]], "*"), "*")</f>
        <v>*</v>
      </c>
      <c r="P162">
        <f>COUNTIF($O$7:$O162,O162)</f>
        <v>156</v>
      </c>
      <c r="Q162" t="str">
        <f t="shared" si="9"/>
        <v>*156</v>
      </c>
      <c r="R162" t="str">
        <f>IFERROR(登録一覧[[#This Row],[学籍番号]],"-")</f>
        <v>-</v>
      </c>
      <c r="S162" t="str">
        <f>IFERROR(登録一覧[[#This Row],[氏名]],"-")</f>
        <v>-</v>
      </c>
    </row>
    <row r="163" spans="10:19" x14ac:dyDescent="0.4">
      <c r="J163" t="str">
        <f>IFERROR(IF(登録一覧[[#This Row],[希望]]="","-",登録一覧[[#This Row],[希望]]&amp;登録一覧[[#This Row],[学生枠]]),"-")</f>
        <v>-</v>
      </c>
      <c r="K163" t="str">
        <f>IFERROR(ROW()+IF(登録一覧[[#This Row],[修士]]&lt;&gt;"", 0, IF(登録一覧[[#This Row],[非表示]]&lt;&gt;"",1000,10000)),"-")</f>
        <v>-</v>
      </c>
      <c r="L163">
        <f t="shared" si="8"/>
        <v>247</v>
      </c>
      <c r="M163" t="str">
        <f t="shared" si="10"/>
        <v>-247</v>
      </c>
      <c r="N16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3" t="str">
        <f>IFERROR(IF(登録一覧[[#This Row],[決定]]="yes", 登録一覧[[#This Row],[希望]], "*"), "*")</f>
        <v>*</v>
      </c>
      <c r="P163">
        <f>COUNTIF($O$7:$O163,O163)</f>
        <v>157</v>
      </c>
      <c r="Q163" t="str">
        <f t="shared" si="9"/>
        <v>*157</v>
      </c>
      <c r="R163" t="str">
        <f>IFERROR(登録一覧[[#This Row],[学籍番号]],"-")</f>
        <v>-</v>
      </c>
      <c r="S163" t="str">
        <f>IFERROR(登録一覧[[#This Row],[氏名]],"-")</f>
        <v>-</v>
      </c>
    </row>
    <row r="164" spans="10:19" x14ac:dyDescent="0.4">
      <c r="J164" t="str">
        <f>IFERROR(IF(登録一覧[[#This Row],[希望]]="","-",登録一覧[[#This Row],[希望]]&amp;登録一覧[[#This Row],[学生枠]]),"-")</f>
        <v>-</v>
      </c>
      <c r="K164" t="str">
        <f>IFERROR(ROW()+IF(登録一覧[[#This Row],[修士]]&lt;&gt;"", 0, IF(登録一覧[[#This Row],[非表示]]&lt;&gt;"",1000,10000)),"-")</f>
        <v>-</v>
      </c>
      <c r="L164">
        <f t="shared" si="8"/>
        <v>247</v>
      </c>
      <c r="M164" t="str">
        <f t="shared" si="10"/>
        <v>-247</v>
      </c>
      <c r="N16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4" t="str">
        <f>IFERROR(IF(登録一覧[[#This Row],[決定]]="yes", 登録一覧[[#This Row],[希望]], "*"), "*")</f>
        <v>*</v>
      </c>
      <c r="P164">
        <f>COUNTIF($O$7:$O164,O164)</f>
        <v>158</v>
      </c>
      <c r="Q164" t="str">
        <f t="shared" si="9"/>
        <v>*158</v>
      </c>
      <c r="R164" t="str">
        <f>IFERROR(登録一覧[[#This Row],[学籍番号]],"-")</f>
        <v>-</v>
      </c>
      <c r="S164" t="str">
        <f>IFERROR(登録一覧[[#This Row],[氏名]],"-")</f>
        <v>-</v>
      </c>
    </row>
    <row r="165" spans="10:19" x14ac:dyDescent="0.4">
      <c r="J165" t="str">
        <f>IFERROR(IF(登録一覧[[#This Row],[希望]]="","-",登録一覧[[#This Row],[希望]]&amp;登録一覧[[#This Row],[学生枠]]),"-")</f>
        <v>-</v>
      </c>
      <c r="K165" t="str">
        <f>IFERROR(ROW()+IF(登録一覧[[#This Row],[修士]]&lt;&gt;"", 0, IF(登録一覧[[#This Row],[非表示]]&lt;&gt;"",1000,10000)),"-")</f>
        <v>-</v>
      </c>
      <c r="L165">
        <f t="shared" si="8"/>
        <v>247</v>
      </c>
      <c r="M165" t="str">
        <f t="shared" si="10"/>
        <v>-247</v>
      </c>
      <c r="N16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5" t="str">
        <f>IFERROR(IF(登録一覧[[#This Row],[決定]]="yes", 登録一覧[[#This Row],[希望]], "*"), "*")</f>
        <v>*</v>
      </c>
      <c r="P165">
        <f>COUNTIF($O$7:$O165,O165)</f>
        <v>159</v>
      </c>
      <c r="Q165" t="str">
        <f t="shared" si="9"/>
        <v>*159</v>
      </c>
      <c r="R165" t="str">
        <f>IFERROR(登録一覧[[#This Row],[学籍番号]],"-")</f>
        <v>-</v>
      </c>
      <c r="S165" t="str">
        <f>IFERROR(登録一覧[[#This Row],[氏名]],"-")</f>
        <v>-</v>
      </c>
    </row>
    <row r="166" spans="10:19" x14ac:dyDescent="0.4">
      <c r="J166" t="str">
        <f>IFERROR(IF(登録一覧[[#This Row],[希望]]="","-",登録一覧[[#This Row],[希望]]&amp;登録一覧[[#This Row],[学生枠]]),"-")</f>
        <v>-</v>
      </c>
      <c r="K166" t="str">
        <f>IFERROR(ROW()+IF(登録一覧[[#This Row],[修士]]&lt;&gt;"", 0, IF(登録一覧[[#This Row],[非表示]]&lt;&gt;"",1000,10000)),"-")</f>
        <v>-</v>
      </c>
      <c r="L166">
        <f t="shared" si="8"/>
        <v>247</v>
      </c>
      <c r="M166" t="str">
        <f t="shared" si="10"/>
        <v>-247</v>
      </c>
      <c r="N16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6" t="str">
        <f>IFERROR(IF(登録一覧[[#This Row],[決定]]="yes", 登録一覧[[#This Row],[希望]], "*"), "*")</f>
        <v>*</v>
      </c>
      <c r="P166">
        <f>COUNTIF($O$7:$O166,O166)</f>
        <v>160</v>
      </c>
      <c r="Q166" t="str">
        <f t="shared" si="9"/>
        <v>*160</v>
      </c>
      <c r="R166" t="str">
        <f>IFERROR(登録一覧[[#This Row],[学籍番号]],"-")</f>
        <v>-</v>
      </c>
      <c r="S166" t="str">
        <f>IFERROR(登録一覧[[#This Row],[氏名]],"-")</f>
        <v>-</v>
      </c>
    </row>
    <row r="167" spans="10:19" x14ac:dyDescent="0.4">
      <c r="J167" t="str">
        <f>IFERROR(IF(登録一覧[[#This Row],[希望]]="","-",登録一覧[[#This Row],[希望]]&amp;登録一覧[[#This Row],[学生枠]]),"-")</f>
        <v>-</v>
      </c>
      <c r="K167" t="str">
        <f>IFERROR(ROW()+IF(登録一覧[[#This Row],[修士]]&lt;&gt;"", 0, IF(登録一覧[[#This Row],[非表示]]&lt;&gt;"",1000,10000)),"-")</f>
        <v>-</v>
      </c>
      <c r="L167">
        <f t="shared" si="8"/>
        <v>247</v>
      </c>
      <c r="M167" t="str">
        <f t="shared" si="10"/>
        <v>-247</v>
      </c>
      <c r="N16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7" t="str">
        <f>IFERROR(IF(登録一覧[[#This Row],[決定]]="yes", 登録一覧[[#This Row],[希望]], "*"), "*")</f>
        <v>*</v>
      </c>
      <c r="P167">
        <f>COUNTIF($O$7:$O167,O167)</f>
        <v>161</v>
      </c>
      <c r="Q167" t="str">
        <f t="shared" si="9"/>
        <v>*161</v>
      </c>
      <c r="R167" t="str">
        <f>IFERROR(登録一覧[[#This Row],[学籍番号]],"-")</f>
        <v>-</v>
      </c>
      <c r="S167" t="str">
        <f>IFERROR(登録一覧[[#This Row],[氏名]],"-")</f>
        <v>-</v>
      </c>
    </row>
    <row r="168" spans="10:19" x14ac:dyDescent="0.4">
      <c r="J168" t="str">
        <f>IFERROR(IF(登録一覧[[#This Row],[希望]]="","-",登録一覧[[#This Row],[希望]]&amp;登録一覧[[#This Row],[学生枠]]),"-")</f>
        <v>-</v>
      </c>
      <c r="K168" t="str">
        <f>IFERROR(ROW()+IF(登録一覧[[#This Row],[修士]]&lt;&gt;"", 0, IF(登録一覧[[#This Row],[非表示]]&lt;&gt;"",1000,10000)),"-")</f>
        <v>-</v>
      </c>
      <c r="L168">
        <f t="shared" si="8"/>
        <v>247</v>
      </c>
      <c r="M168" t="str">
        <f t="shared" si="10"/>
        <v>-247</v>
      </c>
      <c r="N16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8" t="str">
        <f>IFERROR(IF(登録一覧[[#This Row],[決定]]="yes", 登録一覧[[#This Row],[希望]], "*"), "*")</f>
        <v>*</v>
      </c>
      <c r="P168">
        <f>COUNTIF($O$7:$O168,O168)</f>
        <v>162</v>
      </c>
      <c r="Q168" t="str">
        <f t="shared" si="9"/>
        <v>*162</v>
      </c>
      <c r="R168" t="str">
        <f>IFERROR(登録一覧[[#This Row],[学籍番号]],"-")</f>
        <v>-</v>
      </c>
      <c r="S168" t="str">
        <f>IFERROR(登録一覧[[#This Row],[氏名]],"-")</f>
        <v>-</v>
      </c>
    </row>
    <row r="169" spans="10:19" x14ac:dyDescent="0.4">
      <c r="J169" t="str">
        <f>IFERROR(IF(登録一覧[[#This Row],[希望]]="","-",登録一覧[[#This Row],[希望]]&amp;登録一覧[[#This Row],[学生枠]]),"-")</f>
        <v>-</v>
      </c>
      <c r="K169" t="str">
        <f>IFERROR(ROW()+IF(登録一覧[[#This Row],[修士]]&lt;&gt;"", 0, IF(登録一覧[[#This Row],[非表示]]&lt;&gt;"",1000,10000)),"-")</f>
        <v>-</v>
      </c>
      <c r="L169">
        <f t="shared" si="8"/>
        <v>247</v>
      </c>
      <c r="M169" t="str">
        <f t="shared" si="10"/>
        <v>-247</v>
      </c>
      <c r="N16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9" t="str">
        <f>IFERROR(IF(登録一覧[[#This Row],[決定]]="yes", 登録一覧[[#This Row],[希望]], "*"), "*")</f>
        <v>*</v>
      </c>
      <c r="P169">
        <f>COUNTIF($O$7:$O169,O169)</f>
        <v>163</v>
      </c>
      <c r="Q169" t="str">
        <f t="shared" si="9"/>
        <v>*163</v>
      </c>
      <c r="R169" t="str">
        <f>IFERROR(登録一覧[[#This Row],[学籍番号]],"-")</f>
        <v>-</v>
      </c>
      <c r="S169" t="str">
        <f>IFERROR(登録一覧[[#This Row],[氏名]],"-")</f>
        <v>-</v>
      </c>
    </row>
    <row r="170" spans="10:19" x14ac:dyDescent="0.4">
      <c r="J170" t="str">
        <f>IFERROR(IF(登録一覧[[#This Row],[希望]]="","-",登録一覧[[#This Row],[希望]]&amp;登録一覧[[#This Row],[学生枠]]),"-")</f>
        <v>-</v>
      </c>
      <c r="K170" t="str">
        <f>IFERROR(ROW()+IF(登録一覧[[#This Row],[修士]]&lt;&gt;"", 0, IF(登録一覧[[#This Row],[非表示]]&lt;&gt;"",1000,10000)),"-")</f>
        <v>-</v>
      </c>
      <c r="L170">
        <f t="shared" si="8"/>
        <v>247</v>
      </c>
      <c r="M170" t="str">
        <f t="shared" si="10"/>
        <v>-247</v>
      </c>
      <c r="N17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0" t="str">
        <f>IFERROR(IF(登録一覧[[#This Row],[決定]]="yes", 登録一覧[[#This Row],[希望]], "*"), "*")</f>
        <v>*</v>
      </c>
      <c r="P170">
        <f>COUNTIF($O$7:$O170,O170)</f>
        <v>164</v>
      </c>
      <c r="Q170" t="str">
        <f t="shared" si="9"/>
        <v>*164</v>
      </c>
      <c r="R170" t="str">
        <f>IFERROR(登録一覧[[#This Row],[学籍番号]],"-")</f>
        <v>-</v>
      </c>
      <c r="S170" t="str">
        <f>IFERROR(登録一覧[[#This Row],[氏名]],"-")</f>
        <v>-</v>
      </c>
    </row>
    <row r="171" spans="10:19" x14ac:dyDescent="0.4">
      <c r="J171" t="str">
        <f>IFERROR(IF(登録一覧[[#This Row],[希望]]="","-",登録一覧[[#This Row],[希望]]&amp;登録一覧[[#This Row],[学生枠]]),"-")</f>
        <v>-</v>
      </c>
      <c r="K171" t="str">
        <f>IFERROR(ROW()+IF(登録一覧[[#This Row],[修士]]&lt;&gt;"", 0, IF(登録一覧[[#This Row],[非表示]]&lt;&gt;"",1000,10000)),"-")</f>
        <v>-</v>
      </c>
      <c r="L171">
        <f t="shared" si="8"/>
        <v>247</v>
      </c>
      <c r="M171" t="str">
        <f t="shared" si="10"/>
        <v>-247</v>
      </c>
      <c r="N17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1" t="str">
        <f>IFERROR(IF(登録一覧[[#This Row],[決定]]="yes", 登録一覧[[#This Row],[希望]], "*"), "*")</f>
        <v>*</v>
      </c>
      <c r="P171">
        <f>COUNTIF($O$7:$O171,O171)</f>
        <v>165</v>
      </c>
      <c r="Q171" t="str">
        <f t="shared" si="9"/>
        <v>*165</v>
      </c>
      <c r="R171" t="str">
        <f>IFERROR(登録一覧[[#This Row],[学籍番号]],"-")</f>
        <v>-</v>
      </c>
      <c r="S171" t="str">
        <f>IFERROR(登録一覧[[#This Row],[氏名]],"-")</f>
        <v>-</v>
      </c>
    </row>
    <row r="172" spans="10:19" x14ac:dyDescent="0.4">
      <c r="J172" t="str">
        <f>IFERROR(IF(登録一覧[[#This Row],[希望]]="","-",登録一覧[[#This Row],[希望]]&amp;登録一覧[[#This Row],[学生枠]]),"-")</f>
        <v>-</v>
      </c>
      <c r="K172" t="str">
        <f>IFERROR(ROW()+IF(登録一覧[[#This Row],[修士]]&lt;&gt;"", 0, IF(登録一覧[[#This Row],[非表示]]&lt;&gt;"",1000,10000)),"-")</f>
        <v>-</v>
      </c>
      <c r="L172">
        <f t="shared" si="8"/>
        <v>247</v>
      </c>
      <c r="M172" t="str">
        <f t="shared" si="10"/>
        <v>-247</v>
      </c>
      <c r="N17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2" t="str">
        <f>IFERROR(IF(登録一覧[[#This Row],[決定]]="yes", 登録一覧[[#This Row],[希望]], "*"), "*")</f>
        <v>*</v>
      </c>
      <c r="P172">
        <f>COUNTIF($O$7:$O172,O172)</f>
        <v>166</v>
      </c>
      <c r="Q172" t="str">
        <f t="shared" si="9"/>
        <v>*166</v>
      </c>
      <c r="R172" t="str">
        <f>IFERROR(登録一覧[[#This Row],[学籍番号]],"-")</f>
        <v>-</v>
      </c>
      <c r="S172" t="str">
        <f>IFERROR(登録一覧[[#This Row],[氏名]],"-")</f>
        <v>-</v>
      </c>
    </row>
    <row r="173" spans="10:19" x14ac:dyDescent="0.4">
      <c r="J173" t="str">
        <f>IFERROR(IF(登録一覧[[#This Row],[希望]]="","-",登録一覧[[#This Row],[希望]]&amp;登録一覧[[#This Row],[学生枠]]),"-")</f>
        <v>-</v>
      </c>
      <c r="K173" t="str">
        <f>IFERROR(ROW()+IF(登録一覧[[#This Row],[修士]]&lt;&gt;"", 0, IF(登録一覧[[#This Row],[非表示]]&lt;&gt;"",1000,10000)),"-")</f>
        <v>-</v>
      </c>
      <c r="L173">
        <f t="shared" si="8"/>
        <v>247</v>
      </c>
      <c r="M173" t="str">
        <f t="shared" si="10"/>
        <v>-247</v>
      </c>
      <c r="N17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3" t="str">
        <f>IFERROR(IF(登録一覧[[#This Row],[決定]]="yes", 登録一覧[[#This Row],[希望]], "*"), "*")</f>
        <v>*</v>
      </c>
      <c r="P173">
        <f>COUNTIF($O$7:$O173,O173)</f>
        <v>167</v>
      </c>
      <c r="Q173" t="str">
        <f t="shared" si="9"/>
        <v>*167</v>
      </c>
      <c r="R173" t="str">
        <f>IFERROR(登録一覧[[#This Row],[学籍番号]],"-")</f>
        <v>-</v>
      </c>
      <c r="S173" t="str">
        <f>IFERROR(登録一覧[[#This Row],[氏名]],"-")</f>
        <v>-</v>
      </c>
    </row>
    <row r="174" spans="10:19" x14ac:dyDescent="0.4">
      <c r="J174" t="str">
        <f>IFERROR(IF(登録一覧[[#This Row],[希望]]="","-",登録一覧[[#This Row],[希望]]&amp;登録一覧[[#This Row],[学生枠]]),"-")</f>
        <v>-</v>
      </c>
      <c r="K174" t="str">
        <f>IFERROR(ROW()+IF(登録一覧[[#This Row],[修士]]&lt;&gt;"", 0, IF(登録一覧[[#This Row],[非表示]]&lt;&gt;"",1000,10000)),"-")</f>
        <v>-</v>
      </c>
      <c r="L174">
        <f t="shared" si="8"/>
        <v>247</v>
      </c>
      <c r="M174" t="str">
        <f t="shared" si="10"/>
        <v>-247</v>
      </c>
      <c r="N17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4" t="str">
        <f>IFERROR(IF(登録一覧[[#This Row],[決定]]="yes", 登録一覧[[#This Row],[希望]], "*"), "*")</f>
        <v>*</v>
      </c>
      <c r="P174">
        <f>COUNTIF($O$7:$O174,O174)</f>
        <v>168</v>
      </c>
      <c r="Q174" t="str">
        <f t="shared" si="9"/>
        <v>*168</v>
      </c>
      <c r="R174" t="str">
        <f>IFERROR(登録一覧[[#This Row],[学籍番号]],"-")</f>
        <v>-</v>
      </c>
      <c r="S174" t="str">
        <f>IFERROR(登録一覧[[#This Row],[氏名]],"-")</f>
        <v>-</v>
      </c>
    </row>
    <row r="175" spans="10:19" x14ac:dyDescent="0.4">
      <c r="J175" t="str">
        <f>IFERROR(IF(登録一覧[[#This Row],[希望]]="","-",登録一覧[[#This Row],[希望]]&amp;登録一覧[[#This Row],[学生枠]]),"-")</f>
        <v>-</v>
      </c>
      <c r="K175" t="str">
        <f>IFERROR(ROW()+IF(登録一覧[[#This Row],[修士]]&lt;&gt;"", 0, IF(登録一覧[[#This Row],[非表示]]&lt;&gt;"",1000,10000)),"-")</f>
        <v>-</v>
      </c>
      <c r="L175">
        <f t="shared" si="8"/>
        <v>247</v>
      </c>
      <c r="M175" t="str">
        <f t="shared" si="10"/>
        <v>-247</v>
      </c>
      <c r="N17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5" t="str">
        <f>IFERROR(IF(登録一覧[[#This Row],[決定]]="yes", 登録一覧[[#This Row],[希望]], "*"), "*")</f>
        <v>*</v>
      </c>
      <c r="P175">
        <f>COUNTIF($O$7:$O175,O175)</f>
        <v>169</v>
      </c>
      <c r="Q175" t="str">
        <f t="shared" si="9"/>
        <v>*169</v>
      </c>
      <c r="R175" t="str">
        <f>IFERROR(登録一覧[[#This Row],[学籍番号]],"-")</f>
        <v>-</v>
      </c>
      <c r="S175" t="str">
        <f>IFERROR(登録一覧[[#This Row],[氏名]],"-")</f>
        <v>-</v>
      </c>
    </row>
    <row r="176" spans="10:19" x14ac:dyDescent="0.4">
      <c r="J176" t="str">
        <f>IFERROR(IF(登録一覧[[#This Row],[希望]]="","-",登録一覧[[#This Row],[希望]]&amp;登録一覧[[#This Row],[学生枠]]),"-")</f>
        <v>-</v>
      </c>
      <c r="K176" t="str">
        <f>IFERROR(ROW()+IF(登録一覧[[#This Row],[修士]]&lt;&gt;"", 0, IF(登録一覧[[#This Row],[非表示]]&lt;&gt;"",1000,10000)),"-")</f>
        <v>-</v>
      </c>
      <c r="L176">
        <f t="shared" si="8"/>
        <v>247</v>
      </c>
      <c r="M176" t="str">
        <f t="shared" si="10"/>
        <v>-247</v>
      </c>
      <c r="N17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6" t="str">
        <f>IFERROR(IF(登録一覧[[#This Row],[決定]]="yes", 登録一覧[[#This Row],[希望]], "*"), "*")</f>
        <v>*</v>
      </c>
      <c r="P176">
        <f>COUNTIF($O$7:$O176,O176)</f>
        <v>170</v>
      </c>
      <c r="Q176" t="str">
        <f t="shared" si="9"/>
        <v>*170</v>
      </c>
      <c r="R176" t="str">
        <f>IFERROR(登録一覧[[#This Row],[学籍番号]],"-")</f>
        <v>-</v>
      </c>
      <c r="S176" t="str">
        <f>IFERROR(登録一覧[[#This Row],[氏名]],"-")</f>
        <v>-</v>
      </c>
    </row>
    <row r="177" spans="10:19" x14ac:dyDescent="0.4">
      <c r="J177" t="str">
        <f>IFERROR(IF(登録一覧[[#This Row],[希望]]="","-",登録一覧[[#This Row],[希望]]&amp;登録一覧[[#This Row],[学生枠]]),"-")</f>
        <v>-</v>
      </c>
      <c r="K177" t="str">
        <f>IFERROR(ROW()+IF(登録一覧[[#This Row],[修士]]&lt;&gt;"", 0, IF(登録一覧[[#This Row],[非表示]]&lt;&gt;"",1000,10000)),"-")</f>
        <v>-</v>
      </c>
      <c r="L177">
        <f t="shared" si="8"/>
        <v>247</v>
      </c>
      <c r="M177" t="str">
        <f t="shared" si="10"/>
        <v>-247</v>
      </c>
      <c r="N17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7" t="str">
        <f>IFERROR(IF(登録一覧[[#This Row],[決定]]="yes", 登録一覧[[#This Row],[希望]], "*"), "*")</f>
        <v>*</v>
      </c>
      <c r="P177">
        <f>COUNTIF($O$7:$O177,O177)</f>
        <v>171</v>
      </c>
      <c r="Q177" t="str">
        <f t="shared" si="9"/>
        <v>*171</v>
      </c>
      <c r="R177" t="str">
        <f>IFERROR(登録一覧[[#This Row],[学籍番号]],"-")</f>
        <v>-</v>
      </c>
      <c r="S177" t="str">
        <f>IFERROR(登録一覧[[#This Row],[氏名]],"-")</f>
        <v>-</v>
      </c>
    </row>
    <row r="178" spans="10:19" x14ac:dyDescent="0.4">
      <c r="J178" t="str">
        <f>IFERROR(IF(登録一覧[[#This Row],[希望]]="","-",登録一覧[[#This Row],[希望]]&amp;登録一覧[[#This Row],[学生枠]]),"-")</f>
        <v>-</v>
      </c>
      <c r="K178" t="str">
        <f>IFERROR(ROW()+IF(登録一覧[[#This Row],[修士]]&lt;&gt;"", 0, IF(登録一覧[[#This Row],[非表示]]&lt;&gt;"",1000,10000)),"-")</f>
        <v>-</v>
      </c>
      <c r="L178">
        <f t="shared" si="8"/>
        <v>247</v>
      </c>
      <c r="M178" t="str">
        <f t="shared" si="10"/>
        <v>-247</v>
      </c>
      <c r="N17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8" t="str">
        <f>IFERROR(IF(登録一覧[[#This Row],[決定]]="yes", 登録一覧[[#This Row],[希望]], "*"), "*")</f>
        <v>*</v>
      </c>
      <c r="P178">
        <f>COUNTIF($O$7:$O178,O178)</f>
        <v>172</v>
      </c>
      <c r="Q178" t="str">
        <f t="shared" si="9"/>
        <v>*172</v>
      </c>
      <c r="R178" t="str">
        <f>IFERROR(登録一覧[[#This Row],[学籍番号]],"-")</f>
        <v>-</v>
      </c>
      <c r="S178" t="str">
        <f>IFERROR(登録一覧[[#This Row],[氏名]],"-")</f>
        <v>-</v>
      </c>
    </row>
    <row r="179" spans="10:19" x14ac:dyDescent="0.4">
      <c r="J179" t="str">
        <f>IFERROR(IF(登録一覧[[#This Row],[希望]]="","-",登録一覧[[#This Row],[希望]]&amp;登録一覧[[#This Row],[学生枠]]),"-")</f>
        <v>-</v>
      </c>
      <c r="K179" t="str">
        <f>IFERROR(ROW()+IF(登録一覧[[#This Row],[修士]]&lt;&gt;"", 0, IF(登録一覧[[#This Row],[非表示]]&lt;&gt;"",1000,10000)),"-")</f>
        <v>-</v>
      </c>
      <c r="L179">
        <f t="shared" si="8"/>
        <v>247</v>
      </c>
      <c r="M179" t="str">
        <f t="shared" si="10"/>
        <v>-247</v>
      </c>
      <c r="N17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9" t="str">
        <f>IFERROR(IF(登録一覧[[#This Row],[決定]]="yes", 登録一覧[[#This Row],[希望]], "*"), "*")</f>
        <v>*</v>
      </c>
      <c r="P179">
        <f>COUNTIF($O$7:$O179,O179)</f>
        <v>173</v>
      </c>
      <c r="Q179" t="str">
        <f t="shared" si="9"/>
        <v>*173</v>
      </c>
      <c r="R179" t="str">
        <f>IFERROR(登録一覧[[#This Row],[学籍番号]],"-")</f>
        <v>-</v>
      </c>
      <c r="S179" t="str">
        <f>IFERROR(登録一覧[[#This Row],[氏名]],"-")</f>
        <v>-</v>
      </c>
    </row>
    <row r="180" spans="10:19" x14ac:dyDescent="0.4">
      <c r="J180" t="str">
        <f>IFERROR(IF(登録一覧[[#This Row],[希望]]="","-",登録一覧[[#This Row],[希望]]&amp;登録一覧[[#This Row],[学生枠]]),"-")</f>
        <v>-</v>
      </c>
      <c r="K180" t="str">
        <f>IFERROR(ROW()+IF(登録一覧[[#This Row],[修士]]&lt;&gt;"", 0, IF(登録一覧[[#This Row],[非表示]]&lt;&gt;"",1000,10000)),"-")</f>
        <v>-</v>
      </c>
      <c r="L180">
        <f t="shared" si="8"/>
        <v>247</v>
      </c>
      <c r="M180" t="str">
        <f t="shared" si="10"/>
        <v>-247</v>
      </c>
      <c r="N18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0" t="str">
        <f>IFERROR(IF(登録一覧[[#This Row],[決定]]="yes", 登録一覧[[#This Row],[希望]], "*"), "*")</f>
        <v>*</v>
      </c>
      <c r="P180">
        <f>COUNTIF($O$7:$O180,O180)</f>
        <v>174</v>
      </c>
      <c r="Q180" t="str">
        <f t="shared" si="9"/>
        <v>*174</v>
      </c>
      <c r="R180" t="str">
        <f>IFERROR(登録一覧[[#This Row],[学籍番号]],"-")</f>
        <v>-</v>
      </c>
      <c r="S180" t="str">
        <f>IFERROR(登録一覧[[#This Row],[氏名]],"-")</f>
        <v>-</v>
      </c>
    </row>
    <row r="181" spans="10:19" x14ac:dyDescent="0.4">
      <c r="J181" t="str">
        <f>IFERROR(IF(登録一覧[[#This Row],[希望]]="","-",登録一覧[[#This Row],[希望]]&amp;登録一覧[[#This Row],[学生枠]]),"-")</f>
        <v>-</v>
      </c>
      <c r="K181" t="str">
        <f>IFERROR(ROW()+IF(登録一覧[[#This Row],[修士]]&lt;&gt;"", 0, IF(登録一覧[[#This Row],[非表示]]&lt;&gt;"",1000,10000)),"-")</f>
        <v>-</v>
      </c>
      <c r="L181">
        <f t="shared" si="8"/>
        <v>247</v>
      </c>
      <c r="M181" t="str">
        <f t="shared" si="10"/>
        <v>-247</v>
      </c>
      <c r="N18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1" t="str">
        <f>IFERROR(IF(登録一覧[[#This Row],[決定]]="yes", 登録一覧[[#This Row],[希望]], "*"), "*")</f>
        <v>*</v>
      </c>
      <c r="P181">
        <f>COUNTIF($O$7:$O181,O181)</f>
        <v>175</v>
      </c>
      <c r="Q181" t="str">
        <f t="shared" si="9"/>
        <v>*175</v>
      </c>
      <c r="R181" t="str">
        <f>IFERROR(登録一覧[[#This Row],[学籍番号]],"-")</f>
        <v>-</v>
      </c>
      <c r="S181" t="str">
        <f>IFERROR(登録一覧[[#This Row],[氏名]],"-")</f>
        <v>-</v>
      </c>
    </row>
    <row r="182" spans="10:19" x14ac:dyDescent="0.4">
      <c r="J182" t="str">
        <f>IFERROR(IF(登録一覧[[#This Row],[希望]]="","-",登録一覧[[#This Row],[希望]]&amp;登録一覧[[#This Row],[学生枠]]),"-")</f>
        <v>-</v>
      </c>
      <c r="K182" t="str">
        <f>IFERROR(ROW()+IF(登録一覧[[#This Row],[修士]]&lt;&gt;"", 0, IF(登録一覧[[#This Row],[非表示]]&lt;&gt;"",1000,10000)),"-")</f>
        <v>-</v>
      </c>
      <c r="L182">
        <f t="shared" si="8"/>
        <v>247</v>
      </c>
      <c r="M182" t="str">
        <f t="shared" si="10"/>
        <v>-247</v>
      </c>
      <c r="N18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2" t="str">
        <f>IFERROR(IF(登録一覧[[#This Row],[決定]]="yes", 登録一覧[[#This Row],[希望]], "*"), "*")</f>
        <v>*</v>
      </c>
      <c r="P182">
        <f>COUNTIF($O$7:$O182,O182)</f>
        <v>176</v>
      </c>
      <c r="Q182" t="str">
        <f t="shared" si="9"/>
        <v>*176</v>
      </c>
      <c r="R182" t="str">
        <f>IFERROR(登録一覧[[#This Row],[学籍番号]],"-")</f>
        <v>-</v>
      </c>
      <c r="S182" t="str">
        <f>IFERROR(登録一覧[[#This Row],[氏名]],"-")</f>
        <v>-</v>
      </c>
    </row>
    <row r="183" spans="10:19" x14ac:dyDescent="0.4">
      <c r="J183" t="str">
        <f>IFERROR(IF(登録一覧[[#This Row],[希望]]="","-",登録一覧[[#This Row],[希望]]&amp;登録一覧[[#This Row],[学生枠]]),"-")</f>
        <v>-</v>
      </c>
      <c r="K183" t="str">
        <f>IFERROR(ROW()+IF(登録一覧[[#This Row],[修士]]&lt;&gt;"", 0, IF(登録一覧[[#This Row],[非表示]]&lt;&gt;"",1000,10000)),"-")</f>
        <v>-</v>
      </c>
      <c r="L183">
        <f t="shared" si="8"/>
        <v>247</v>
      </c>
      <c r="M183" t="str">
        <f t="shared" si="10"/>
        <v>-247</v>
      </c>
      <c r="N18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3" t="str">
        <f>IFERROR(IF(登録一覧[[#This Row],[決定]]="yes", 登録一覧[[#This Row],[希望]], "*"), "*")</f>
        <v>*</v>
      </c>
      <c r="P183">
        <f>COUNTIF($O$7:$O183,O183)</f>
        <v>177</v>
      </c>
      <c r="Q183" t="str">
        <f t="shared" si="9"/>
        <v>*177</v>
      </c>
      <c r="R183" t="str">
        <f>IFERROR(登録一覧[[#This Row],[学籍番号]],"-")</f>
        <v>-</v>
      </c>
      <c r="S183" t="str">
        <f>IFERROR(登録一覧[[#This Row],[氏名]],"-")</f>
        <v>-</v>
      </c>
    </row>
    <row r="184" spans="10:19" x14ac:dyDescent="0.4">
      <c r="J184" t="str">
        <f>IFERROR(IF(登録一覧[[#This Row],[希望]]="","-",登録一覧[[#This Row],[希望]]&amp;登録一覧[[#This Row],[学生枠]]),"-")</f>
        <v>-</v>
      </c>
      <c r="K184" t="str">
        <f>IFERROR(ROW()+IF(登録一覧[[#This Row],[修士]]&lt;&gt;"", 0, IF(登録一覧[[#This Row],[非表示]]&lt;&gt;"",1000,10000)),"-")</f>
        <v>-</v>
      </c>
      <c r="L184">
        <f t="shared" si="8"/>
        <v>247</v>
      </c>
      <c r="M184" t="str">
        <f t="shared" si="10"/>
        <v>-247</v>
      </c>
      <c r="N18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4" t="str">
        <f>IFERROR(IF(登録一覧[[#This Row],[決定]]="yes", 登録一覧[[#This Row],[希望]], "*"), "*")</f>
        <v>*</v>
      </c>
      <c r="P184">
        <f>COUNTIF($O$7:$O184,O184)</f>
        <v>178</v>
      </c>
      <c r="Q184" t="str">
        <f t="shared" si="9"/>
        <v>*178</v>
      </c>
      <c r="R184" t="str">
        <f>IFERROR(登録一覧[[#This Row],[学籍番号]],"-")</f>
        <v>-</v>
      </c>
      <c r="S184" t="str">
        <f>IFERROR(登録一覧[[#This Row],[氏名]],"-")</f>
        <v>-</v>
      </c>
    </row>
    <row r="185" spans="10:19" x14ac:dyDescent="0.4">
      <c r="J185" t="str">
        <f>IFERROR(IF(登録一覧[[#This Row],[希望]]="","-",登録一覧[[#This Row],[希望]]&amp;登録一覧[[#This Row],[学生枠]]),"-")</f>
        <v>-</v>
      </c>
      <c r="K185" t="str">
        <f>IFERROR(ROW()+IF(登録一覧[[#This Row],[修士]]&lt;&gt;"", 0, IF(登録一覧[[#This Row],[非表示]]&lt;&gt;"",1000,10000)),"-")</f>
        <v>-</v>
      </c>
      <c r="L185">
        <f t="shared" si="8"/>
        <v>247</v>
      </c>
      <c r="M185" t="str">
        <f t="shared" si="10"/>
        <v>-247</v>
      </c>
      <c r="N18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5" t="str">
        <f>IFERROR(IF(登録一覧[[#This Row],[決定]]="yes", 登録一覧[[#This Row],[希望]], "*"), "*")</f>
        <v>*</v>
      </c>
      <c r="P185">
        <f>COUNTIF($O$7:$O185,O185)</f>
        <v>179</v>
      </c>
      <c r="Q185" t="str">
        <f t="shared" si="9"/>
        <v>*179</v>
      </c>
      <c r="R185" t="str">
        <f>IFERROR(登録一覧[[#This Row],[学籍番号]],"-")</f>
        <v>-</v>
      </c>
      <c r="S185" t="str">
        <f>IFERROR(登録一覧[[#This Row],[氏名]],"-")</f>
        <v>-</v>
      </c>
    </row>
    <row r="186" spans="10:19" x14ac:dyDescent="0.4">
      <c r="J186" t="str">
        <f>IFERROR(IF(登録一覧[[#This Row],[希望]]="","-",登録一覧[[#This Row],[希望]]&amp;登録一覧[[#This Row],[学生枠]]),"-")</f>
        <v>-</v>
      </c>
      <c r="K186" t="str">
        <f>IFERROR(ROW()+IF(登録一覧[[#This Row],[修士]]&lt;&gt;"", 0, IF(登録一覧[[#This Row],[非表示]]&lt;&gt;"",1000,10000)),"-")</f>
        <v>-</v>
      </c>
      <c r="L186">
        <f t="shared" si="8"/>
        <v>247</v>
      </c>
      <c r="M186" t="str">
        <f t="shared" si="10"/>
        <v>-247</v>
      </c>
      <c r="N18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6" t="str">
        <f>IFERROR(IF(登録一覧[[#This Row],[決定]]="yes", 登録一覧[[#This Row],[希望]], "*"), "*")</f>
        <v>*</v>
      </c>
      <c r="P186">
        <f>COUNTIF($O$7:$O186,O186)</f>
        <v>180</v>
      </c>
      <c r="Q186" t="str">
        <f t="shared" si="9"/>
        <v>*180</v>
      </c>
      <c r="R186" t="str">
        <f>IFERROR(登録一覧[[#This Row],[学籍番号]],"-")</f>
        <v>-</v>
      </c>
      <c r="S186" t="str">
        <f>IFERROR(登録一覧[[#This Row],[氏名]],"-")</f>
        <v>-</v>
      </c>
    </row>
    <row r="187" spans="10:19" x14ac:dyDescent="0.4">
      <c r="J187" t="str">
        <f>IFERROR(IF(登録一覧[[#This Row],[希望]]="","-",登録一覧[[#This Row],[希望]]&amp;登録一覧[[#This Row],[学生枠]]),"-")</f>
        <v>-</v>
      </c>
      <c r="K187" t="str">
        <f>IFERROR(ROW()+IF(登録一覧[[#This Row],[修士]]&lt;&gt;"", 0, IF(登録一覧[[#This Row],[非表示]]&lt;&gt;"",1000,10000)),"-")</f>
        <v>-</v>
      </c>
      <c r="L187">
        <f t="shared" si="8"/>
        <v>247</v>
      </c>
      <c r="M187" t="str">
        <f t="shared" si="10"/>
        <v>-247</v>
      </c>
      <c r="N18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7" t="str">
        <f>IFERROR(IF(登録一覧[[#This Row],[決定]]="yes", 登録一覧[[#This Row],[希望]], "*"), "*")</f>
        <v>*</v>
      </c>
      <c r="P187">
        <f>COUNTIF($O$7:$O187,O187)</f>
        <v>181</v>
      </c>
      <c r="Q187" t="str">
        <f t="shared" si="9"/>
        <v>*181</v>
      </c>
      <c r="R187" t="str">
        <f>IFERROR(登録一覧[[#This Row],[学籍番号]],"-")</f>
        <v>-</v>
      </c>
      <c r="S187" t="str">
        <f>IFERROR(登録一覧[[#This Row],[氏名]],"-")</f>
        <v>-</v>
      </c>
    </row>
    <row r="188" spans="10:19" x14ac:dyDescent="0.4">
      <c r="J188" t="str">
        <f>IFERROR(IF(登録一覧[[#This Row],[希望]]="","-",登録一覧[[#This Row],[希望]]&amp;登録一覧[[#This Row],[学生枠]]),"-")</f>
        <v>-</v>
      </c>
      <c r="K188" t="str">
        <f>IFERROR(ROW()+IF(登録一覧[[#This Row],[修士]]&lt;&gt;"", 0, IF(登録一覧[[#This Row],[非表示]]&lt;&gt;"",1000,10000)),"-")</f>
        <v>-</v>
      </c>
      <c r="L188">
        <f t="shared" si="8"/>
        <v>247</v>
      </c>
      <c r="M188" t="str">
        <f t="shared" si="10"/>
        <v>-247</v>
      </c>
      <c r="N18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8" t="str">
        <f>IFERROR(IF(登録一覧[[#This Row],[決定]]="yes", 登録一覧[[#This Row],[希望]], "*"), "*")</f>
        <v>*</v>
      </c>
      <c r="P188">
        <f>COUNTIF($O$7:$O188,O188)</f>
        <v>182</v>
      </c>
      <c r="Q188" t="str">
        <f t="shared" si="9"/>
        <v>*182</v>
      </c>
      <c r="R188" t="str">
        <f>IFERROR(登録一覧[[#This Row],[学籍番号]],"-")</f>
        <v>-</v>
      </c>
      <c r="S188" t="str">
        <f>IFERROR(登録一覧[[#This Row],[氏名]],"-")</f>
        <v>-</v>
      </c>
    </row>
    <row r="189" spans="10:19" x14ac:dyDescent="0.4">
      <c r="J189" t="str">
        <f>IFERROR(IF(登録一覧[[#This Row],[希望]]="","-",登録一覧[[#This Row],[希望]]&amp;登録一覧[[#This Row],[学生枠]]),"-")</f>
        <v>-</v>
      </c>
      <c r="K189" t="str">
        <f>IFERROR(ROW()+IF(登録一覧[[#This Row],[修士]]&lt;&gt;"", 0, IF(登録一覧[[#This Row],[非表示]]&lt;&gt;"",1000,10000)),"-")</f>
        <v>-</v>
      </c>
      <c r="L189">
        <f t="shared" si="8"/>
        <v>247</v>
      </c>
      <c r="M189" t="str">
        <f t="shared" si="10"/>
        <v>-247</v>
      </c>
      <c r="N18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9" t="str">
        <f>IFERROR(IF(登録一覧[[#This Row],[決定]]="yes", 登録一覧[[#This Row],[希望]], "*"), "*")</f>
        <v>*</v>
      </c>
      <c r="P189">
        <f>COUNTIF($O$7:$O189,O189)</f>
        <v>183</v>
      </c>
      <c r="Q189" t="str">
        <f t="shared" si="9"/>
        <v>*183</v>
      </c>
      <c r="R189" t="str">
        <f>IFERROR(登録一覧[[#This Row],[学籍番号]],"-")</f>
        <v>-</v>
      </c>
      <c r="S189" t="str">
        <f>IFERROR(登録一覧[[#This Row],[氏名]],"-")</f>
        <v>-</v>
      </c>
    </row>
    <row r="190" spans="10:19" x14ac:dyDescent="0.4">
      <c r="J190" t="str">
        <f>IFERROR(IF(登録一覧[[#This Row],[希望]]="","-",登録一覧[[#This Row],[希望]]&amp;登録一覧[[#This Row],[学生枠]]),"-")</f>
        <v>-</v>
      </c>
      <c r="K190" t="str">
        <f>IFERROR(ROW()+IF(登録一覧[[#This Row],[修士]]&lt;&gt;"", 0, IF(登録一覧[[#This Row],[非表示]]&lt;&gt;"",1000,10000)),"-")</f>
        <v>-</v>
      </c>
      <c r="L190">
        <f t="shared" si="8"/>
        <v>247</v>
      </c>
      <c r="M190" t="str">
        <f t="shared" si="10"/>
        <v>-247</v>
      </c>
      <c r="N19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0" t="str">
        <f>IFERROR(IF(登録一覧[[#This Row],[決定]]="yes", 登録一覧[[#This Row],[希望]], "*"), "*")</f>
        <v>*</v>
      </c>
      <c r="P190">
        <f>COUNTIF($O$7:$O190,O190)</f>
        <v>184</v>
      </c>
      <c r="Q190" t="str">
        <f t="shared" si="9"/>
        <v>*184</v>
      </c>
      <c r="R190" t="str">
        <f>IFERROR(登録一覧[[#This Row],[学籍番号]],"-")</f>
        <v>-</v>
      </c>
      <c r="S190" t="str">
        <f>IFERROR(登録一覧[[#This Row],[氏名]],"-")</f>
        <v>-</v>
      </c>
    </row>
    <row r="191" spans="10:19" x14ac:dyDescent="0.4">
      <c r="J191" t="str">
        <f>IFERROR(IF(登録一覧[[#This Row],[希望]]="","-",登録一覧[[#This Row],[希望]]&amp;登録一覧[[#This Row],[学生枠]]),"-")</f>
        <v>-</v>
      </c>
      <c r="K191" t="str">
        <f>IFERROR(ROW()+IF(登録一覧[[#This Row],[修士]]&lt;&gt;"", 0, IF(登録一覧[[#This Row],[非表示]]&lt;&gt;"",1000,10000)),"-")</f>
        <v>-</v>
      </c>
      <c r="L191">
        <f t="shared" si="8"/>
        <v>247</v>
      </c>
      <c r="M191" t="str">
        <f t="shared" si="10"/>
        <v>-247</v>
      </c>
      <c r="N19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1" t="str">
        <f>IFERROR(IF(登録一覧[[#This Row],[決定]]="yes", 登録一覧[[#This Row],[希望]], "*"), "*")</f>
        <v>*</v>
      </c>
      <c r="P191">
        <f>COUNTIF($O$7:$O191,O191)</f>
        <v>185</v>
      </c>
      <c r="Q191" t="str">
        <f t="shared" si="9"/>
        <v>*185</v>
      </c>
      <c r="R191" t="str">
        <f>IFERROR(登録一覧[[#This Row],[学籍番号]],"-")</f>
        <v>-</v>
      </c>
      <c r="S191" t="str">
        <f>IFERROR(登録一覧[[#This Row],[氏名]],"-")</f>
        <v>-</v>
      </c>
    </row>
    <row r="192" spans="10:19" x14ac:dyDescent="0.4">
      <c r="J192" t="str">
        <f>IFERROR(IF(登録一覧[[#This Row],[希望]]="","-",登録一覧[[#This Row],[希望]]&amp;登録一覧[[#This Row],[学生枠]]),"-")</f>
        <v>-</v>
      </c>
      <c r="K192" t="str">
        <f>IFERROR(ROW()+IF(登録一覧[[#This Row],[修士]]&lt;&gt;"", 0, IF(登録一覧[[#This Row],[非表示]]&lt;&gt;"",1000,10000)),"-")</f>
        <v>-</v>
      </c>
      <c r="L192">
        <f t="shared" si="8"/>
        <v>247</v>
      </c>
      <c r="M192" t="str">
        <f t="shared" si="10"/>
        <v>-247</v>
      </c>
      <c r="N19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2" t="str">
        <f>IFERROR(IF(登録一覧[[#This Row],[決定]]="yes", 登録一覧[[#This Row],[希望]], "*"), "*")</f>
        <v>*</v>
      </c>
      <c r="P192">
        <f>COUNTIF($O$7:$O192,O192)</f>
        <v>186</v>
      </c>
      <c r="Q192" t="str">
        <f t="shared" si="9"/>
        <v>*186</v>
      </c>
      <c r="R192" t="str">
        <f>IFERROR(登録一覧[[#This Row],[学籍番号]],"-")</f>
        <v>-</v>
      </c>
      <c r="S192" t="str">
        <f>IFERROR(登録一覧[[#This Row],[氏名]],"-")</f>
        <v>-</v>
      </c>
    </row>
    <row r="193" spans="10:19" x14ac:dyDescent="0.4">
      <c r="J193" t="str">
        <f>IFERROR(IF(登録一覧[[#This Row],[希望]]="","-",登録一覧[[#This Row],[希望]]&amp;登録一覧[[#This Row],[学生枠]]),"-")</f>
        <v>-</v>
      </c>
      <c r="K193" t="str">
        <f>IFERROR(ROW()+IF(登録一覧[[#This Row],[修士]]&lt;&gt;"", 0, IF(登録一覧[[#This Row],[非表示]]&lt;&gt;"",1000,10000)),"-")</f>
        <v>-</v>
      </c>
      <c r="L193">
        <f t="shared" si="8"/>
        <v>247</v>
      </c>
      <c r="M193" t="str">
        <f t="shared" si="10"/>
        <v>-247</v>
      </c>
      <c r="N19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3" t="str">
        <f>IFERROR(IF(登録一覧[[#This Row],[決定]]="yes", 登録一覧[[#This Row],[希望]], "*"), "*")</f>
        <v>*</v>
      </c>
      <c r="P193">
        <f>COUNTIF($O$7:$O193,O193)</f>
        <v>187</v>
      </c>
      <c r="Q193" t="str">
        <f t="shared" si="9"/>
        <v>*187</v>
      </c>
      <c r="R193" t="str">
        <f>IFERROR(登録一覧[[#This Row],[学籍番号]],"-")</f>
        <v>-</v>
      </c>
      <c r="S193" t="str">
        <f>IFERROR(登録一覧[[#This Row],[氏名]],"-")</f>
        <v>-</v>
      </c>
    </row>
    <row r="194" spans="10:19" x14ac:dyDescent="0.4">
      <c r="J194" t="str">
        <f>IFERROR(IF(登録一覧[[#This Row],[希望]]="","-",登録一覧[[#This Row],[希望]]&amp;登録一覧[[#This Row],[学生枠]]),"-")</f>
        <v>-</v>
      </c>
      <c r="K194" t="str">
        <f>IFERROR(ROW()+IF(登録一覧[[#This Row],[修士]]&lt;&gt;"", 0, IF(登録一覧[[#This Row],[非表示]]&lt;&gt;"",1000,10000)),"-")</f>
        <v>-</v>
      </c>
      <c r="L194">
        <f t="shared" si="8"/>
        <v>247</v>
      </c>
      <c r="M194" t="str">
        <f t="shared" si="10"/>
        <v>-247</v>
      </c>
      <c r="N19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4" t="str">
        <f>IFERROR(IF(登録一覧[[#This Row],[決定]]="yes", 登録一覧[[#This Row],[希望]], "*"), "*")</f>
        <v>*</v>
      </c>
      <c r="P194">
        <f>COUNTIF($O$7:$O194,O194)</f>
        <v>188</v>
      </c>
      <c r="Q194" t="str">
        <f t="shared" si="9"/>
        <v>*188</v>
      </c>
      <c r="R194" t="str">
        <f>IFERROR(登録一覧[[#This Row],[学籍番号]],"-")</f>
        <v>-</v>
      </c>
      <c r="S194" t="str">
        <f>IFERROR(登録一覧[[#This Row],[氏名]],"-")</f>
        <v>-</v>
      </c>
    </row>
    <row r="195" spans="10:19" x14ac:dyDescent="0.4">
      <c r="J195" t="str">
        <f>IFERROR(IF(登録一覧[[#This Row],[希望]]="","-",登録一覧[[#This Row],[希望]]&amp;登録一覧[[#This Row],[学生枠]]),"-")</f>
        <v>-</v>
      </c>
      <c r="K195" t="str">
        <f>IFERROR(ROW()+IF(登録一覧[[#This Row],[修士]]&lt;&gt;"", 0, IF(登録一覧[[#This Row],[非表示]]&lt;&gt;"",1000,10000)),"-")</f>
        <v>-</v>
      </c>
      <c r="L195">
        <f t="shared" si="8"/>
        <v>247</v>
      </c>
      <c r="M195" t="str">
        <f t="shared" si="10"/>
        <v>-247</v>
      </c>
      <c r="N19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5" t="str">
        <f>IFERROR(IF(登録一覧[[#This Row],[決定]]="yes", 登録一覧[[#This Row],[希望]], "*"), "*")</f>
        <v>*</v>
      </c>
      <c r="P195">
        <f>COUNTIF($O$7:$O195,O195)</f>
        <v>189</v>
      </c>
      <c r="Q195" t="str">
        <f t="shared" si="9"/>
        <v>*189</v>
      </c>
      <c r="R195" t="str">
        <f>IFERROR(登録一覧[[#This Row],[学籍番号]],"-")</f>
        <v>-</v>
      </c>
      <c r="S195" t="str">
        <f>IFERROR(登録一覧[[#This Row],[氏名]],"-")</f>
        <v>-</v>
      </c>
    </row>
    <row r="196" spans="10:19" x14ac:dyDescent="0.4">
      <c r="J196" t="str">
        <f>IFERROR(IF(登録一覧[[#This Row],[希望]]="","-",登録一覧[[#This Row],[希望]]&amp;登録一覧[[#This Row],[学生枠]]),"-")</f>
        <v>-</v>
      </c>
      <c r="K196" t="str">
        <f>IFERROR(ROW()+IF(登録一覧[[#This Row],[修士]]&lt;&gt;"", 0, IF(登録一覧[[#This Row],[非表示]]&lt;&gt;"",1000,10000)),"-")</f>
        <v>-</v>
      </c>
      <c r="L196">
        <f t="shared" si="8"/>
        <v>247</v>
      </c>
      <c r="M196" t="str">
        <f t="shared" si="10"/>
        <v>-247</v>
      </c>
      <c r="N19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6" t="str">
        <f>IFERROR(IF(登録一覧[[#This Row],[決定]]="yes", 登録一覧[[#This Row],[希望]], "*"), "*")</f>
        <v>*</v>
      </c>
      <c r="P196">
        <f>COUNTIF($O$7:$O196,O196)</f>
        <v>190</v>
      </c>
      <c r="Q196" t="str">
        <f t="shared" si="9"/>
        <v>*190</v>
      </c>
      <c r="R196" t="str">
        <f>IFERROR(登録一覧[[#This Row],[学籍番号]],"-")</f>
        <v>-</v>
      </c>
      <c r="S196" t="str">
        <f>IFERROR(登録一覧[[#This Row],[氏名]],"-")</f>
        <v>-</v>
      </c>
    </row>
    <row r="197" spans="10:19" x14ac:dyDescent="0.4">
      <c r="J197" t="str">
        <f>IFERROR(IF(登録一覧[[#This Row],[希望]]="","-",登録一覧[[#This Row],[希望]]&amp;登録一覧[[#This Row],[学生枠]]),"-")</f>
        <v>-</v>
      </c>
      <c r="K197" t="str">
        <f>IFERROR(ROW()+IF(登録一覧[[#This Row],[修士]]&lt;&gt;"", 0, IF(登録一覧[[#This Row],[非表示]]&lt;&gt;"",1000,10000)),"-")</f>
        <v>-</v>
      </c>
      <c r="L197">
        <f t="shared" si="8"/>
        <v>247</v>
      </c>
      <c r="M197" t="str">
        <f t="shared" si="10"/>
        <v>-247</v>
      </c>
      <c r="N19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7" t="str">
        <f>IFERROR(IF(登録一覧[[#This Row],[決定]]="yes", 登録一覧[[#This Row],[希望]], "*"), "*")</f>
        <v>*</v>
      </c>
      <c r="P197">
        <f>COUNTIF($O$7:$O197,O197)</f>
        <v>191</v>
      </c>
      <c r="Q197" t="str">
        <f t="shared" si="9"/>
        <v>*191</v>
      </c>
      <c r="R197" t="str">
        <f>IFERROR(登録一覧[[#This Row],[学籍番号]],"-")</f>
        <v>-</v>
      </c>
      <c r="S197" t="str">
        <f>IFERROR(登録一覧[[#This Row],[氏名]],"-")</f>
        <v>-</v>
      </c>
    </row>
    <row r="198" spans="10:19" x14ac:dyDescent="0.4">
      <c r="J198" t="str">
        <f>IFERROR(IF(登録一覧[[#This Row],[希望]]="","-",登録一覧[[#This Row],[希望]]&amp;登録一覧[[#This Row],[学生枠]]),"-")</f>
        <v>-</v>
      </c>
      <c r="K198" t="str">
        <f>IFERROR(ROW()+IF(登録一覧[[#This Row],[修士]]&lt;&gt;"", 0, IF(登録一覧[[#This Row],[非表示]]&lt;&gt;"",1000,10000)),"-")</f>
        <v>-</v>
      </c>
      <c r="L198">
        <f t="shared" si="8"/>
        <v>247</v>
      </c>
      <c r="M198" t="str">
        <f t="shared" si="10"/>
        <v>-247</v>
      </c>
      <c r="N19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8" t="str">
        <f>IFERROR(IF(登録一覧[[#This Row],[決定]]="yes", 登録一覧[[#This Row],[希望]], "*"), "*")</f>
        <v>*</v>
      </c>
      <c r="P198">
        <f>COUNTIF($O$7:$O198,O198)</f>
        <v>192</v>
      </c>
      <c r="Q198" t="str">
        <f t="shared" si="9"/>
        <v>*192</v>
      </c>
      <c r="R198" t="str">
        <f>IFERROR(登録一覧[[#This Row],[学籍番号]],"-")</f>
        <v>-</v>
      </c>
      <c r="S198" t="str">
        <f>IFERROR(登録一覧[[#This Row],[氏名]],"-")</f>
        <v>-</v>
      </c>
    </row>
    <row r="199" spans="10:19" x14ac:dyDescent="0.4">
      <c r="J199" t="str">
        <f>IFERROR(IF(登録一覧[[#This Row],[希望]]="","-",登録一覧[[#This Row],[希望]]&amp;登録一覧[[#This Row],[学生枠]]),"-")</f>
        <v>-</v>
      </c>
      <c r="K199" t="str">
        <f>IFERROR(ROW()+IF(登録一覧[[#This Row],[修士]]&lt;&gt;"", 0, IF(登録一覧[[#This Row],[非表示]]&lt;&gt;"",1000,10000)),"-")</f>
        <v>-</v>
      </c>
      <c r="L199">
        <f t="shared" si="8"/>
        <v>247</v>
      </c>
      <c r="M199" t="str">
        <f t="shared" si="10"/>
        <v>-247</v>
      </c>
      <c r="N19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9" t="str">
        <f>IFERROR(IF(登録一覧[[#This Row],[決定]]="yes", 登録一覧[[#This Row],[希望]], "*"), "*")</f>
        <v>*</v>
      </c>
      <c r="P199">
        <f>COUNTIF($O$7:$O199,O199)</f>
        <v>193</v>
      </c>
      <c r="Q199" t="str">
        <f t="shared" si="9"/>
        <v>*193</v>
      </c>
      <c r="R199" t="str">
        <f>IFERROR(登録一覧[[#This Row],[学籍番号]],"-")</f>
        <v>-</v>
      </c>
      <c r="S199" t="str">
        <f>IFERROR(登録一覧[[#This Row],[氏名]],"-")</f>
        <v>-</v>
      </c>
    </row>
    <row r="200" spans="10:19" x14ac:dyDescent="0.4">
      <c r="J200" t="str">
        <f>IFERROR(IF(登録一覧[[#This Row],[希望]]="","-",登録一覧[[#This Row],[希望]]&amp;登録一覧[[#This Row],[学生枠]]),"-")</f>
        <v>-</v>
      </c>
      <c r="K200" t="str">
        <f>IFERROR(ROW()+IF(登録一覧[[#This Row],[修士]]&lt;&gt;"", 0, IF(登録一覧[[#This Row],[非表示]]&lt;&gt;"",1000,10000)),"-")</f>
        <v>-</v>
      </c>
      <c r="L200">
        <f t="shared" ref="L200:L256" si="11">COUNTIFS($J$7:$J$256,J200,$K$7:$K$256,"&lt;="&amp;K200)</f>
        <v>247</v>
      </c>
      <c r="M200" t="str">
        <f t="shared" si="10"/>
        <v>-247</v>
      </c>
      <c r="N20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0" t="str">
        <f>IFERROR(IF(登録一覧[[#This Row],[決定]]="yes", 登録一覧[[#This Row],[希望]], "*"), "*")</f>
        <v>*</v>
      </c>
      <c r="P200">
        <f>COUNTIF($O$7:$O200,O200)</f>
        <v>194</v>
      </c>
      <c r="Q200" t="str">
        <f t="shared" ref="Q200:Q256" si="12">O200&amp;P200</f>
        <v>*194</v>
      </c>
      <c r="R200" t="str">
        <f>IFERROR(登録一覧[[#This Row],[学籍番号]],"-")</f>
        <v>-</v>
      </c>
      <c r="S200" t="str">
        <f>IFERROR(登録一覧[[#This Row],[氏名]],"-")</f>
        <v>-</v>
      </c>
    </row>
    <row r="201" spans="10:19" x14ac:dyDescent="0.4">
      <c r="J201" t="str">
        <f>IFERROR(IF(登録一覧[[#This Row],[希望]]="","-",登録一覧[[#This Row],[希望]]&amp;登録一覧[[#This Row],[学生枠]]),"-")</f>
        <v>-</v>
      </c>
      <c r="K201" t="str">
        <f>IFERROR(ROW()+IF(登録一覧[[#This Row],[修士]]&lt;&gt;"", 0, IF(登録一覧[[#This Row],[非表示]]&lt;&gt;"",1000,10000)),"-")</f>
        <v>-</v>
      </c>
      <c r="L201">
        <f t="shared" si="11"/>
        <v>247</v>
      </c>
      <c r="M201" t="str">
        <f t="shared" si="10"/>
        <v>-247</v>
      </c>
      <c r="N20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1" t="str">
        <f>IFERROR(IF(登録一覧[[#This Row],[決定]]="yes", 登録一覧[[#This Row],[希望]], "*"), "*")</f>
        <v>*</v>
      </c>
      <c r="P201">
        <f>COUNTIF($O$7:$O201,O201)</f>
        <v>195</v>
      </c>
      <c r="Q201" t="str">
        <f t="shared" si="12"/>
        <v>*195</v>
      </c>
      <c r="R201" t="str">
        <f>IFERROR(登録一覧[[#This Row],[学籍番号]],"-")</f>
        <v>-</v>
      </c>
      <c r="S201" t="str">
        <f>IFERROR(登録一覧[[#This Row],[氏名]],"-")</f>
        <v>-</v>
      </c>
    </row>
    <row r="202" spans="10:19" x14ac:dyDescent="0.4">
      <c r="J202" t="str">
        <f>IFERROR(IF(登録一覧[[#This Row],[希望]]="","-",登録一覧[[#This Row],[希望]]&amp;登録一覧[[#This Row],[学生枠]]),"-")</f>
        <v>-</v>
      </c>
      <c r="K202" t="str">
        <f>IFERROR(ROW()+IF(登録一覧[[#This Row],[修士]]&lt;&gt;"", 0, IF(登録一覧[[#This Row],[非表示]]&lt;&gt;"",1000,10000)),"-")</f>
        <v>-</v>
      </c>
      <c r="L202">
        <f t="shared" si="11"/>
        <v>247</v>
      </c>
      <c r="M202" t="str">
        <f t="shared" si="10"/>
        <v>-247</v>
      </c>
      <c r="N20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2" t="str">
        <f>IFERROR(IF(登録一覧[[#This Row],[決定]]="yes", 登録一覧[[#This Row],[希望]], "*"), "*")</f>
        <v>*</v>
      </c>
      <c r="P202">
        <f>COUNTIF($O$7:$O202,O202)</f>
        <v>196</v>
      </c>
      <c r="Q202" t="str">
        <f t="shared" si="12"/>
        <v>*196</v>
      </c>
      <c r="R202" t="str">
        <f>IFERROR(登録一覧[[#This Row],[学籍番号]],"-")</f>
        <v>-</v>
      </c>
      <c r="S202" t="str">
        <f>IFERROR(登録一覧[[#This Row],[氏名]],"-")</f>
        <v>-</v>
      </c>
    </row>
    <row r="203" spans="10:19" x14ac:dyDescent="0.4">
      <c r="J203" t="str">
        <f>IFERROR(IF(登録一覧[[#This Row],[希望]]="","-",登録一覧[[#This Row],[希望]]&amp;登録一覧[[#This Row],[学生枠]]),"-")</f>
        <v>-</v>
      </c>
      <c r="K203" t="str">
        <f>IFERROR(ROW()+IF(登録一覧[[#This Row],[修士]]&lt;&gt;"", 0, IF(登録一覧[[#This Row],[非表示]]&lt;&gt;"",1000,10000)),"-")</f>
        <v>-</v>
      </c>
      <c r="L203">
        <f t="shared" si="11"/>
        <v>247</v>
      </c>
      <c r="M203" t="str">
        <f t="shared" si="10"/>
        <v>-247</v>
      </c>
      <c r="N20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3" t="str">
        <f>IFERROR(IF(登録一覧[[#This Row],[決定]]="yes", 登録一覧[[#This Row],[希望]], "*"), "*")</f>
        <v>*</v>
      </c>
      <c r="P203">
        <f>COUNTIF($O$7:$O203,O203)</f>
        <v>197</v>
      </c>
      <c r="Q203" t="str">
        <f t="shared" si="12"/>
        <v>*197</v>
      </c>
      <c r="R203" t="str">
        <f>IFERROR(登録一覧[[#This Row],[学籍番号]],"-")</f>
        <v>-</v>
      </c>
      <c r="S203" t="str">
        <f>IFERROR(登録一覧[[#This Row],[氏名]],"-")</f>
        <v>-</v>
      </c>
    </row>
    <row r="204" spans="10:19" x14ac:dyDescent="0.4">
      <c r="J204" t="str">
        <f>IFERROR(IF(登録一覧[[#This Row],[希望]]="","-",登録一覧[[#This Row],[希望]]&amp;登録一覧[[#This Row],[学生枠]]),"-")</f>
        <v>-</v>
      </c>
      <c r="K204" t="str">
        <f>IFERROR(ROW()+IF(登録一覧[[#This Row],[修士]]&lt;&gt;"", 0, IF(登録一覧[[#This Row],[非表示]]&lt;&gt;"",1000,10000)),"-")</f>
        <v>-</v>
      </c>
      <c r="L204">
        <f t="shared" si="11"/>
        <v>247</v>
      </c>
      <c r="M204" t="str">
        <f t="shared" si="10"/>
        <v>-247</v>
      </c>
      <c r="N20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4" t="str">
        <f>IFERROR(IF(登録一覧[[#This Row],[決定]]="yes", 登録一覧[[#This Row],[希望]], "*"), "*")</f>
        <v>*</v>
      </c>
      <c r="P204">
        <f>COUNTIF($O$7:$O204,O204)</f>
        <v>198</v>
      </c>
      <c r="Q204" t="str">
        <f t="shared" si="12"/>
        <v>*198</v>
      </c>
      <c r="R204" t="str">
        <f>IFERROR(登録一覧[[#This Row],[学籍番号]],"-")</f>
        <v>-</v>
      </c>
      <c r="S204" t="str">
        <f>IFERROR(登録一覧[[#This Row],[氏名]],"-")</f>
        <v>-</v>
      </c>
    </row>
    <row r="205" spans="10:19" x14ac:dyDescent="0.4">
      <c r="J205" t="str">
        <f>IFERROR(IF(登録一覧[[#This Row],[希望]]="","-",登録一覧[[#This Row],[希望]]&amp;登録一覧[[#This Row],[学生枠]]),"-")</f>
        <v>-</v>
      </c>
      <c r="K205" t="str">
        <f>IFERROR(ROW()+IF(登録一覧[[#This Row],[修士]]&lt;&gt;"", 0, IF(登録一覧[[#This Row],[非表示]]&lt;&gt;"",1000,10000)),"-")</f>
        <v>-</v>
      </c>
      <c r="L205">
        <f t="shared" si="11"/>
        <v>247</v>
      </c>
      <c r="M205" t="str">
        <f t="shared" si="10"/>
        <v>-247</v>
      </c>
      <c r="N20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5" t="str">
        <f>IFERROR(IF(登録一覧[[#This Row],[決定]]="yes", 登録一覧[[#This Row],[希望]], "*"), "*")</f>
        <v>*</v>
      </c>
      <c r="P205">
        <f>COUNTIF($O$7:$O205,O205)</f>
        <v>199</v>
      </c>
      <c r="Q205" t="str">
        <f t="shared" si="12"/>
        <v>*199</v>
      </c>
      <c r="R205" t="str">
        <f>IFERROR(登録一覧[[#This Row],[学籍番号]],"-")</f>
        <v>-</v>
      </c>
      <c r="S205" t="str">
        <f>IFERROR(登録一覧[[#This Row],[氏名]],"-")</f>
        <v>-</v>
      </c>
    </row>
    <row r="206" spans="10:19" x14ac:dyDescent="0.4">
      <c r="J206" t="str">
        <f>IFERROR(IF(登録一覧[[#This Row],[希望]]="","-",登録一覧[[#This Row],[希望]]&amp;登録一覧[[#This Row],[学生枠]]),"-")</f>
        <v>-</v>
      </c>
      <c r="K206" t="str">
        <f>IFERROR(ROW()+IF(登録一覧[[#This Row],[修士]]&lt;&gt;"", 0, IF(登録一覧[[#This Row],[非表示]]&lt;&gt;"",1000,10000)),"-")</f>
        <v>-</v>
      </c>
      <c r="L206">
        <f t="shared" si="11"/>
        <v>247</v>
      </c>
      <c r="M206" t="str">
        <f t="shared" si="10"/>
        <v>-247</v>
      </c>
      <c r="N20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6" t="str">
        <f>IFERROR(IF(登録一覧[[#This Row],[決定]]="yes", 登録一覧[[#This Row],[希望]], "*"), "*")</f>
        <v>*</v>
      </c>
      <c r="P206">
        <f>COUNTIF($O$7:$O206,O206)</f>
        <v>200</v>
      </c>
      <c r="Q206" t="str">
        <f t="shared" si="12"/>
        <v>*200</v>
      </c>
      <c r="R206" t="str">
        <f>IFERROR(登録一覧[[#This Row],[学籍番号]],"-")</f>
        <v>-</v>
      </c>
      <c r="S206" t="str">
        <f>IFERROR(登録一覧[[#This Row],[氏名]],"-")</f>
        <v>-</v>
      </c>
    </row>
    <row r="207" spans="10:19" x14ac:dyDescent="0.4">
      <c r="J207" t="str">
        <f>IFERROR(IF(登録一覧[[#This Row],[希望]]="","-",登録一覧[[#This Row],[希望]]&amp;登録一覧[[#This Row],[学生枠]]),"-")</f>
        <v>-</v>
      </c>
      <c r="K207" t="str">
        <f>IFERROR(ROW()+IF(登録一覧[[#This Row],[修士]]&lt;&gt;"", 0, IF(登録一覧[[#This Row],[非表示]]&lt;&gt;"",1000,10000)),"-")</f>
        <v>-</v>
      </c>
      <c r="L207">
        <f t="shared" si="11"/>
        <v>247</v>
      </c>
      <c r="M207" t="str">
        <f t="shared" si="10"/>
        <v>-247</v>
      </c>
      <c r="N20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7" t="str">
        <f>IFERROR(IF(登録一覧[[#This Row],[決定]]="yes", 登録一覧[[#This Row],[希望]], "*"), "*")</f>
        <v>*</v>
      </c>
      <c r="P207">
        <f>COUNTIF($O$7:$O207,O207)</f>
        <v>201</v>
      </c>
      <c r="Q207" t="str">
        <f t="shared" si="12"/>
        <v>*201</v>
      </c>
      <c r="R207" t="str">
        <f>IFERROR(登録一覧[[#This Row],[学籍番号]],"-")</f>
        <v>-</v>
      </c>
      <c r="S207" t="str">
        <f>IFERROR(登録一覧[[#This Row],[氏名]],"-")</f>
        <v>-</v>
      </c>
    </row>
    <row r="208" spans="10:19" x14ac:dyDescent="0.4">
      <c r="J208" t="str">
        <f>IFERROR(IF(登録一覧[[#This Row],[希望]]="","-",登録一覧[[#This Row],[希望]]&amp;登録一覧[[#This Row],[学生枠]]),"-")</f>
        <v>-</v>
      </c>
      <c r="K208" t="str">
        <f>IFERROR(ROW()+IF(登録一覧[[#This Row],[修士]]&lt;&gt;"", 0, IF(登録一覧[[#This Row],[非表示]]&lt;&gt;"",1000,10000)),"-")</f>
        <v>-</v>
      </c>
      <c r="L208">
        <f t="shared" si="11"/>
        <v>247</v>
      </c>
      <c r="M208" t="str">
        <f t="shared" si="10"/>
        <v>-247</v>
      </c>
      <c r="N20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8" t="str">
        <f>IFERROR(IF(登録一覧[[#This Row],[決定]]="yes", 登録一覧[[#This Row],[希望]], "*"), "*")</f>
        <v>*</v>
      </c>
      <c r="P208">
        <f>COUNTIF($O$7:$O208,O208)</f>
        <v>202</v>
      </c>
      <c r="Q208" t="str">
        <f t="shared" si="12"/>
        <v>*202</v>
      </c>
      <c r="R208" t="str">
        <f>IFERROR(登録一覧[[#This Row],[学籍番号]],"-")</f>
        <v>-</v>
      </c>
      <c r="S208" t="str">
        <f>IFERROR(登録一覧[[#This Row],[氏名]],"-")</f>
        <v>-</v>
      </c>
    </row>
    <row r="209" spans="10:19" x14ac:dyDescent="0.4">
      <c r="J209" t="str">
        <f>IFERROR(IF(登録一覧[[#This Row],[希望]]="","-",登録一覧[[#This Row],[希望]]&amp;登録一覧[[#This Row],[学生枠]]),"-")</f>
        <v>-</v>
      </c>
      <c r="K209" t="str">
        <f>IFERROR(ROW()+IF(登録一覧[[#This Row],[修士]]&lt;&gt;"", 0, IF(登録一覧[[#This Row],[非表示]]&lt;&gt;"",1000,10000)),"-")</f>
        <v>-</v>
      </c>
      <c r="L209">
        <f t="shared" si="11"/>
        <v>247</v>
      </c>
      <c r="M209" t="str">
        <f t="shared" si="10"/>
        <v>-247</v>
      </c>
      <c r="N20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9" t="str">
        <f>IFERROR(IF(登録一覧[[#This Row],[決定]]="yes", 登録一覧[[#This Row],[希望]], "*"), "*")</f>
        <v>*</v>
      </c>
      <c r="P209">
        <f>COUNTIF($O$7:$O209,O209)</f>
        <v>203</v>
      </c>
      <c r="Q209" t="str">
        <f t="shared" si="12"/>
        <v>*203</v>
      </c>
      <c r="R209" t="str">
        <f>IFERROR(登録一覧[[#This Row],[学籍番号]],"-")</f>
        <v>-</v>
      </c>
      <c r="S209" t="str">
        <f>IFERROR(登録一覧[[#This Row],[氏名]],"-")</f>
        <v>-</v>
      </c>
    </row>
    <row r="210" spans="10:19" x14ac:dyDescent="0.4">
      <c r="J210" t="str">
        <f>IFERROR(IF(登録一覧[[#This Row],[希望]]="","-",登録一覧[[#This Row],[希望]]&amp;登録一覧[[#This Row],[学生枠]]),"-")</f>
        <v>-</v>
      </c>
      <c r="K210" t="str">
        <f>IFERROR(ROW()+IF(登録一覧[[#This Row],[修士]]&lt;&gt;"", 0, IF(登録一覧[[#This Row],[非表示]]&lt;&gt;"",1000,10000)),"-")</f>
        <v>-</v>
      </c>
      <c r="L210">
        <f t="shared" si="11"/>
        <v>247</v>
      </c>
      <c r="M210" t="str">
        <f t="shared" si="10"/>
        <v>-247</v>
      </c>
      <c r="N21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0" t="str">
        <f>IFERROR(IF(登録一覧[[#This Row],[決定]]="yes", 登録一覧[[#This Row],[希望]], "*"), "*")</f>
        <v>*</v>
      </c>
      <c r="P210">
        <f>COUNTIF($O$7:$O210,O210)</f>
        <v>204</v>
      </c>
      <c r="Q210" t="str">
        <f t="shared" si="12"/>
        <v>*204</v>
      </c>
      <c r="R210" t="str">
        <f>IFERROR(登録一覧[[#This Row],[学籍番号]],"-")</f>
        <v>-</v>
      </c>
      <c r="S210" t="str">
        <f>IFERROR(登録一覧[[#This Row],[氏名]],"-")</f>
        <v>-</v>
      </c>
    </row>
    <row r="211" spans="10:19" x14ac:dyDescent="0.4">
      <c r="J211" t="str">
        <f>IFERROR(IF(登録一覧[[#This Row],[希望]]="","-",登録一覧[[#This Row],[希望]]&amp;登録一覧[[#This Row],[学生枠]]),"-")</f>
        <v>-</v>
      </c>
      <c r="K211" t="str">
        <f>IFERROR(ROW()+IF(登録一覧[[#This Row],[修士]]&lt;&gt;"", 0, IF(登録一覧[[#This Row],[非表示]]&lt;&gt;"",1000,10000)),"-")</f>
        <v>-</v>
      </c>
      <c r="L211">
        <f t="shared" si="11"/>
        <v>247</v>
      </c>
      <c r="M211" t="str">
        <f t="shared" si="10"/>
        <v>-247</v>
      </c>
      <c r="N21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1" t="str">
        <f>IFERROR(IF(登録一覧[[#This Row],[決定]]="yes", 登録一覧[[#This Row],[希望]], "*"), "*")</f>
        <v>*</v>
      </c>
      <c r="P211">
        <f>COUNTIF($O$7:$O211,O211)</f>
        <v>205</v>
      </c>
      <c r="Q211" t="str">
        <f t="shared" si="12"/>
        <v>*205</v>
      </c>
      <c r="R211" t="str">
        <f>IFERROR(登録一覧[[#This Row],[学籍番号]],"-")</f>
        <v>-</v>
      </c>
      <c r="S211" t="str">
        <f>IFERROR(登録一覧[[#This Row],[氏名]],"-")</f>
        <v>-</v>
      </c>
    </row>
    <row r="212" spans="10:19" x14ac:dyDescent="0.4">
      <c r="J212" t="str">
        <f>IFERROR(IF(登録一覧[[#This Row],[希望]]="","-",登録一覧[[#This Row],[希望]]&amp;登録一覧[[#This Row],[学生枠]]),"-")</f>
        <v>-</v>
      </c>
      <c r="K212" t="str">
        <f>IFERROR(ROW()+IF(登録一覧[[#This Row],[修士]]&lt;&gt;"", 0, IF(登録一覧[[#This Row],[非表示]]&lt;&gt;"",1000,10000)),"-")</f>
        <v>-</v>
      </c>
      <c r="L212">
        <f t="shared" si="11"/>
        <v>247</v>
      </c>
      <c r="M212" t="str">
        <f t="shared" si="10"/>
        <v>-247</v>
      </c>
      <c r="N21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2" t="str">
        <f>IFERROR(IF(登録一覧[[#This Row],[決定]]="yes", 登録一覧[[#This Row],[希望]], "*"), "*")</f>
        <v>*</v>
      </c>
      <c r="P212">
        <f>COUNTIF($O$7:$O212,O212)</f>
        <v>206</v>
      </c>
      <c r="Q212" t="str">
        <f t="shared" si="12"/>
        <v>*206</v>
      </c>
      <c r="R212" t="str">
        <f>IFERROR(登録一覧[[#This Row],[学籍番号]],"-")</f>
        <v>-</v>
      </c>
      <c r="S212" t="str">
        <f>IFERROR(登録一覧[[#This Row],[氏名]],"-")</f>
        <v>-</v>
      </c>
    </row>
    <row r="213" spans="10:19" x14ac:dyDescent="0.4">
      <c r="J213" t="str">
        <f>IFERROR(IF(登録一覧[[#This Row],[希望]]="","-",登録一覧[[#This Row],[希望]]&amp;登録一覧[[#This Row],[学生枠]]),"-")</f>
        <v>-</v>
      </c>
      <c r="K213" t="str">
        <f>IFERROR(ROW()+IF(登録一覧[[#This Row],[修士]]&lt;&gt;"", 0, IF(登録一覧[[#This Row],[非表示]]&lt;&gt;"",1000,10000)),"-")</f>
        <v>-</v>
      </c>
      <c r="L213">
        <f t="shared" si="11"/>
        <v>247</v>
      </c>
      <c r="M213" t="str">
        <f t="shared" si="10"/>
        <v>-247</v>
      </c>
      <c r="N21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3" t="str">
        <f>IFERROR(IF(登録一覧[[#This Row],[決定]]="yes", 登録一覧[[#This Row],[希望]], "*"), "*")</f>
        <v>*</v>
      </c>
      <c r="P213">
        <f>COUNTIF($O$7:$O213,O213)</f>
        <v>207</v>
      </c>
      <c r="Q213" t="str">
        <f t="shared" si="12"/>
        <v>*207</v>
      </c>
      <c r="R213" t="str">
        <f>IFERROR(登録一覧[[#This Row],[学籍番号]],"-")</f>
        <v>-</v>
      </c>
      <c r="S213" t="str">
        <f>IFERROR(登録一覧[[#This Row],[氏名]],"-")</f>
        <v>-</v>
      </c>
    </row>
    <row r="214" spans="10:19" x14ac:dyDescent="0.4">
      <c r="J214" t="str">
        <f>IFERROR(IF(登録一覧[[#This Row],[希望]]="","-",登録一覧[[#This Row],[希望]]&amp;登録一覧[[#This Row],[学生枠]]),"-")</f>
        <v>-</v>
      </c>
      <c r="K214" t="str">
        <f>IFERROR(ROW()+IF(登録一覧[[#This Row],[修士]]&lt;&gt;"", 0, IF(登録一覧[[#This Row],[非表示]]&lt;&gt;"",1000,10000)),"-")</f>
        <v>-</v>
      </c>
      <c r="L214">
        <f t="shared" si="11"/>
        <v>247</v>
      </c>
      <c r="M214" t="str">
        <f t="shared" si="10"/>
        <v>-247</v>
      </c>
      <c r="N21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4" t="str">
        <f>IFERROR(IF(登録一覧[[#This Row],[決定]]="yes", 登録一覧[[#This Row],[希望]], "*"), "*")</f>
        <v>*</v>
      </c>
      <c r="P214">
        <f>COUNTIF($O$7:$O214,O214)</f>
        <v>208</v>
      </c>
      <c r="Q214" t="str">
        <f t="shared" si="12"/>
        <v>*208</v>
      </c>
      <c r="R214" t="str">
        <f>IFERROR(登録一覧[[#This Row],[学籍番号]],"-")</f>
        <v>-</v>
      </c>
      <c r="S214" t="str">
        <f>IFERROR(登録一覧[[#This Row],[氏名]],"-")</f>
        <v>-</v>
      </c>
    </row>
    <row r="215" spans="10:19" x14ac:dyDescent="0.4">
      <c r="J215" t="str">
        <f>IFERROR(IF(登録一覧[[#This Row],[希望]]="","-",登録一覧[[#This Row],[希望]]&amp;登録一覧[[#This Row],[学生枠]]),"-")</f>
        <v>-</v>
      </c>
      <c r="K215" t="str">
        <f>IFERROR(ROW()+IF(登録一覧[[#This Row],[修士]]&lt;&gt;"", 0, IF(登録一覧[[#This Row],[非表示]]&lt;&gt;"",1000,10000)),"-")</f>
        <v>-</v>
      </c>
      <c r="L215">
        <f t="shared" si="11"/>
        <v>247</v>
      </c>
      <c r="M215" t="str">
        <f t="shared" si="10"/>
        <v>-247</v>
      </c>
      <c r="N21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5" t="str">
        <f>IFERROR(IF(登録一覧[[#This Row],[決定]]="yes", 登録一覧[[#This Row],[希望]], "*"), "*")</f>
        <v>*</v>
      </c>
      <c r="P215">
        <f>COUNTIF($O$7:$O215,O215)</f>
        <v>209</v>
      </c>
      <c r="Q215" t="str">
        <f t="shared" si="12"/>
        <v>*209</v>
      </c>
      <c r="R215" t="str">
        <f>IFERROR(登録一覧[[#This Row],[学籍番号]],"-")</f>
        <v>-</v>
      </c>
      <c r="S215" t="str">
        <f>IFERROR(登録一覧[[#This Row],[氏名]],"-")</f>
        <v>-</v>
      </c>
    </row>
    <row r="216" spans="10:19" x14ac:dyDescent="0.4">
      <c r="J216" t="str">
        <f>IFERROR(IF(登録一覧[[#This Row],[希望]]="","-",登録一覧[[#This Row],[希望]]&amp;登録一覧[[#This Row],[学生枠]]),"-")</f>
        <v>-</v>
      </c>
      <c r="K216" t="str">
        <f>IFERROR(ROW()+IF(登録一覧[[#This Row],[修士]]&lt;&gt;"", 0, IF(登録一覧[[#This Row],[非表示]]&lt;&gt;"",1000,10000)),"-")</f>
        <v>-</v>
      </c>
      <c r="L216">
        <f t="shared" si="11"/>
        <v>247</v>
      </c>
      <c r="M216" t="str">
        <f t="shared" ref="M216:M256" si="13">J216&amp;L216</f>
        <v>-247</v>
      </c>
      <c r="N21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6" t="str">
        <f>IFERROR(IF(登録一覧[[#This Row],[決定]]="yes", 登録一覧[[#This Row],[希望]], "*"), "*")</f>
        <v>*</v>
      </c>
      <c r="P216">
        <f>COUNTIF($O$7:$O216,O216)</f>
        <v>210</v>
      </c>
      <c r="Q216" t="str">
        <f t="shared" si="12"/>
        <v>*210</v>
      </c>
      <c r="R216" t="str">
        <f>IFERROR(登録一覧[[#This Row],[学籍番号]],"-")</f>
        <v>-</v>
      </c>
      <c r="S216" t="str">
        <f>IFERROR(登録一覧[[#This Row],[氏名]],"-")</f>
        <v>-</v>
      </c>
    </row>
    <row r="217" spans="10:19" x14ac:dyDescent="0.4">
      <c r="J217" t="str">
        <f>IFERROR(IF(登録一覧[[#This Row],[希望]]="","-",登録一覧[[#This Row],[希望]]&amp;登録一覧[[#This Row],[学生枠]]),"-")</f>
        <v>-</v>
      </c>
      <c r="K217" t="str">
        <f>IFERROR(ROW()+IF(登録一覧[[#This Row],[修士]]&lt;&gt;"", 0, IF(登録一覧[[#This Row],[非表示]]&lt;&gt;"",1000,10000)),"-")</f>
        <v>-</v>
      </c>
      <c r="L217">
        <f t="shared" si="11"/>
        <v>247</v>
      </c>
      <c r="M217" t="str">
        <f t="shared" si="13"/>
        <v>-247</v>
      </c>
      <c r="N21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7" t="str">
        <f>IFERROR(IF(登録一覧[[#This Row],[決定]]="yes", 登録一覧[[#This Row],[希望]], "*"), "*")</f>
        <v>*</v>
      </c>
      <c r="P217">
        <f>COUNTIF($O$7:$O217,O217)</f>
        <v>211</v>
      </c>
      <c r="Q217" t="str">
        <f t="shared" si="12"/>
        <v>*211</v>
      </c>
      <c r="R217" t="str">
        <f>IFERROR(登録一覧[[#This Row],[学籍番号]],"-")</f>
        <v>-</v>
      </c>
      <c r="S217" t="str">
        <f>IFERROR(登録一覧[[#This Row],[氏名]],"-")</f>
        <v>-</v>
      </c>
    </row>
    <row r="218" spans="10:19" x14ac:dyDescent="0.4">
      <c r="J218" t="str">
        <f>IFERROR(IF(登録一覧[[#This Row],[希望]]="","-",登録一覧[[#This Row],[希望]]&amp;登録一覧[[#This Row],[学生枠]]),"-")</f>
        <v>-</v>
      </c>
      <c r="K218" t="str">
        <f>IFERROR(ROW()+IF(登録一覧[[#This Row],[修士]]&lt;&gt;"", 0, IF(登録一覧[[#This Row],[非表示]]&lt;&gt;"",1000,10000)),"-")</f>
        <v>-</v>
      </c>
      <c r="L218">
        <f t="shared" si="11"/>
        <v>247</v>
      </c>
      <c r="M218" t="str">
        <f t="shared" si="13"/>
        <v>-247</v>
      </c>
      <c r="N21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8" t="str">
        <f>IFERROR(IF(登録一覧[[#This Row],[決定]]="yes", 登録一覧[[#This Row],[希望]], "*"), "*")</f>
        <v>*</v>
      </c>
      <c r="P218">
        <f>COUNTIF($O$7:$O218,O218)</f>
        <v>212</v>
      </c>
      <c r="Q218" t="str">
        <f t="shared" si="12"/>
        <v>*212</v>
      </c>
      <c r="R218" t="str">
        <f>IFERROR(登録一覧[[#This Row],[学籍番号]],"-")</f>
        <v>-</v>
      </c>
      <c r="S218" t="str">
        <f>IFERROR(登録一覧[[#This Row],[氏名]],"-")</f>
        <v>-</v>
      </c>
    </row>
    <row r="219" spans="10:19" x14ac:dyDescent="0.4">
      <c r="J219" t="str">
        <f>IFERROR(IF(登録一覧[[#This Row],[希望]]="","-",登録一覧[[#This Row],[希望]]&amp;登録一覧[[#This Row],[学生枠]]),"-")</f>
        <v>-</v>
      </c>
      <c r="K219" t="str">
        <f>IFERROR(ROW()+IF(登録一覧[[#This Row],[修士]]&lt;&gt;"", 0, IF(登録一覧[[#This Row],[非表示]]&lt;&gt;"",1000,10000)),"-")</f>
        <v>-</v>
      </c>
      <c r="L219">
        <f t="shared" si="11"/>
        <v>247</v>
      </c>
      <c r="M219" t="str">
        <f t="shared" si="13"/>
        <v>-247</v>
      </c>
      <c r="N21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9" t="str">
        <f>IFERROR(IF(登録一覧[[#This Row],[決定]]="yes", 登録一覧[[#This Row],[希望]], "*"), "*")</f>
        <v>*</v>
      </c>
      <c r="P219">
        <f>COUNTIF($O$7:$O219,O219)</f>
        <v>213</v>
      </c>
      <c r="Q219" t="str">
        <f t="shared" si="12"/>
        <v>*213</v>
      </c>
      <c r="R219" t="str">
        <f>IFERROR(登録一覧[[#This Row],[学籍番号]],"-")</f>
        <v>-</v>
      </c>
      <c r="S219" t="str">
        <f>IFERROR(登録一覧[[#This Row],[氏名]],"-")</f>
        <v>-</v>
      </c>
    </row>
    <row r="220" spans="10:19" x14ac:dyDescent="0.4">
      <c r="J220" t="str">
        <f>IFERROR(IF(登録一覧[[#This Row],[希望]]="","-",登録一覧[[#This Row],[希望]]&amp;登録一覧[[#This Row],[学生枠]]),"-")</f>
        <v>-</v>
      </c>
      <c r="K220" t="str">
        <f>IFERROR(ROW()+IF(登録一覧[[#This Row],[修士]]&lt;&gt;"", 0, IF(登録一覧[[#This Row],[非表示]]&lt;&gt;"",1000,10000)),"-")</f>
        <v>-</v>
      </c>
      <c r="L220">
        <f t="shared" si="11"/>
        <v>247</v>
      </c>
      <c r="M220" t="str">
        <f t="shared" si="13"/>
        <v>-247</v>
      </c>
      <c r="N22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0" t="str">
        <f>IFERROR(IF(登録一覧[[#This Row],[決定]]="yes", 登録一覧[[#This Row],[希望]], "*"), "*")</f>
        <v>*</v>
      </c>
      <c r="P220">
        <f>COUNTIF($O$7:$O220,O220)</f>
        <v>214</v>
      </c>
      <c r="Q220" t="str">
        <f t="shared" si="12"/>
        <v>*214</v>
      </c>
      <c r="R220" t="str">
        <f>IFERROR(登録一覧[[#This Row],[学籍番号]],"-")</f>
        <v>-</v>
      </c>
      <c r="S220" t="str">
        <f>IFERROR(登録一覧[[#This Row],[氏名]],"-")</f>
        <v>-</v>
      </c>
    </row>
    <row r="221" spans="10:19" x14ac:dyDescent="0.4">
      <c r="J221" t="str">
        <f>IFERROR(IF(登録一覧[[#This Row],[希望]]="","-",登録一覧[[#This Row],[希望]]&amp;登録一覧[[#This Row],[学生枠]]),"-")</f>
        <v>-</v>
      </c>
      <c r="K221" t="str">
        <f>IFERROR(ROW()+IF(登録一覧[[#This Row],[修士]]&lt;&gt;"", 0, IF(登録一覧[[#This Row],[非表示]]&lt;&gt;"",1000,10000)),"-")</f>
        <v>-</v>
      </c>
      <c r="L221">
        <f t="shared" si="11"/>
        <v>247</v>
      </c>
      <c r="M221" t="str">
        <f t="shared" si="13"/>
        <v>-247</v>
      </c>
      <c r="N22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1" t="str">
        <f>IFERROR(IF(登録一覧[[#This Row],[決定]]="yes", 登録一覧[[#This Row],[希望]], "*"), "*")</f>
        <v>*</v>
      </c>
      <c r="P221">
        <f>COUNTIF($O$7:$O221,O221)</f>
        <v>215</v>
      </c>
      <c r="Q221" t="str">
        <f t="shared" si="12"/>
        <v>*215</v>
      </c>
      <c r="R221" t="str">
        <f>IFERROR(登録一覧[[#This Row],[学籍番号]],"-")</f>
        <v>-</v>
      </c>
      <c r="S221" t="str">
        <f>IFERROR(登録一覧[[#This Row],[氏名]],"-")</f>
        <v>-</v>
      </c>
    </row>
    <row r="222" spans="10:19" x14ac:dyDescent="0.4">
      <c r="J222" t="str">
        <f>IFERROR(IF(登録一覧[[#This Row],[希望]]="","-",登録一覧[[#This Row],[希望]]&amp;登録一覧[[#This Row],[学生枠]]),"-")</f>
        <v>-</v>
      </c>
      <c r="K222" t="str">
        <f>IFERROR(ROW()+IF(登録一覧[[#This Row],[修士]]&lt;&gt;"", 0, IF(登録一覧[[#This Row],[非表示]]&lt;&gt;"",1000,10000)),"-")</f>
        <v>-</v>
      </c>
      <c r="L222">
        <f t="shared" si="11"/>
        <v>247</v>
      </c>
      <c r="M222" t="str">
        <f t="shared" si="13"/>
        <v>-247</v>
      </c>
      <c r="N22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2" t="str">
        <f>IFERROR(IF(登録一覧[[#This Row],[決定]]="yes", 登録一覧[[#This Row],[希望]], "*"), "*")</f>
        <v>*</v>
      </c>
      <c r="P222">
        <f>COUNTIF($O$7:$O222,O222)</f>
        <v>216</v>
      </c>
      <c r="Q222" t="str">
        <f t="shared" si="12"/>
        <v>*216</v>
      </c>
      <c r="R222" t="str">
        <f>IFERROR(登録一覧[[#This Row],[学籍番号]],"-")</f>
        <v>-</v>
      </c>
      <c r="S222" t="str">
        <f>IFERROR(登録一覧[[#This Row],[氏名]],"-")</f>
        <v>-</v>
      </c>
    </row>
    <row r="223" spans="10:19" x14ac:dyDescent="0.4">
      <c r="J223" t="str">
        <f>IFERROR(IF(登録一覧[[#This Row],[希望]]="","-",登録一覧[[#This Row],[希望]]&amp;登録一覧[[#This Row],[学生枠]]),"-")</f>
        <v>-</v>
      </c>
      <c r="K223" t="str">
        <f>IFERROR(ROW()+IF(登録一覧[[#This Row],[修士]]&lt;&gt;"", 0, IF(登録一覧[[#This Row],[非表示]]&lt;&gt;"",1000,10000)),"-")</f>
        <v>-</v>
      </c>
      <c r="L223">
        <f t="shared" si="11"/>
        <v>247</v>
      </c>
      <c r="M223" t="str">
        <f t="shared" si="13"/>
        <v>-247</v>
      </c>
      <c r="N22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3" t="str">
        <f>IFERROR(IF(登録一覧[[#This Row],[決定]]="yes", 登録一覧[[#This Row],[希望]], "*"), "*")</f>
        <v>*</v>
      </c>
      <c r="P223">
        <f>COUNTIF($O$7:$O223,O223)</f>
        <v>217</v>
      </c>
      <c r="Q223" t="str">
        <f t="shared" si="12"/>
        <v>*217</v>
      </c>
      <c r="R223" t="str">
        <f>IFERROR(登録一覧[[#This Row],[学籍番号]],"-")</f>
        <v>-</v>
      </c>
      <c r="S223" t="str">
        <f>IFERROR(登録一覧[[#This Row],[氏名]],"-")</f>
        <v>-</v>
      </c>
    </row>
    <row r="224" spans="10:19" x14ac:dyDescent="0.4">
      <c r="J224" t="str">
        <f>IFERROR(IF(登録一覧[[#This Row],[希望]]="","-",登録一覧[[#This Row],[希望]]&amp;登録一覧[[#This Row],[学生枠]]),"-")</f>
        <v>-</v>
      </c>
      <c r="K224" t="str">
        <f>IFERROR(ROW()+IF(登録一覧[[#This Row],[修士]]&lt;&gt;"", 0, IF(登録一覧[[#This Row],[非表示]]&lt;&gt;"",1000,10000)),"-")</f>
        <v>-</v>
      </c>
      <c r="L224">
        <f t="shared" si="11"/>
        <v>247</v>
      </c>
      <c r="M224" t="str">
        <f t="shared" si="13"/>
        <v>-247</v>
      </c>
      <c r="N22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4" t="str">
        <f>IFERROR(IF(登録一覧[[#This Row],[決定]]="yes", 登録一覧[[#This Row],[希望]], "*"), "*")</f>
        <v>*</v>
      </c>
      <c r="P224">
        <f>COUNTIF($O$7:$O224,O224)</f>
        <v>218</v>
      </c>
      <c r="Q224" t="str">
        <f t="shared" si="12"/>
        <v>*218</v>
      </c>
      <c r="R224" t="str">
        <f>IFERROR(登録一覧[[#This Row],[学籍番号]],"-")</f>
        <v>-</v>
      </c>
      <c r="S224" t="str">
        <f>IFERROR(登録一覧[[#This Row],[氏名]],"-")</f>
        <v>-</v>
      </c>
    </row>
    <row r="225" spans="10:19" x14ac:dyDescent="0.4">
      <c r="J225" t="str">
        <f>IFERROR(IF(登録一覧[[#This Row],[希望]]="","-",登録一覧[[#This Row],[希望]]&amp;登録一覧[[#This Row],[学生枠]]),"-")</f>
        <v>-</v>
      </c>
      <c r="K225" t="str">
        <f>IFERROR(ROW()+IF(登録一覧[[#This Row],[修士]]&lt;&gt;"", 0, IF(登録一覧[[#This Row],[非表示]]&lt;&gt;"",1000,10000)),"-")</f>
        <v>-</v>
      </c>
      <c r="L225">
        <f t="shared" si="11"/>
        <v>247</v>
      </c>
      <c r="M225" t="str">
        <f t="shared" si="13"/>
        <v>-247</v>
      </c>
      <c r="N22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5" t="str">
        <f>IFERROR(IF(登録一覧[[#This Row],[決定]]="yes", 登録一覧[[#This Row],[希望]], "*"), "*")</f>
        <v>*</v>
      </c>
      <c r="P225">
        <f>COUNTIF($O$7:$O225,O225)</f>
        <v>219</v>
      </c>
      <c r="Q225" t="str">
        <f t="shared" si="12"/>
        <v>*219</v>
      </c>
      <c r="R225" t="str">
        <f>IFERROR(登録一覧[[#This Row],[学籍番号]],"-")</f>
        <v>-</v>
      </c>
      <c r="S225" t="str">
        <f>IFERROR(登録一覧[[#This Row],[氏名]],"-")</f>
        <v>-</v>
      </c>
    </row>
    <row r="226" spans="10:19" x14ac:dyDescent="0.4">
      <c r="J226" t="str">
        <f>IFERROR(IF(登録一覧[[#This Row],[希望]]="","-",登録一覧[[#This Row],[希望]]&amp;登録一覧[[#This Row],[学生枠]]),"-")</f>
        <v>-</v>
      </c>
      <c r="K226" t="str">
        <f>IFERROR(ROW()+IF(登録一覧[[#This Row],[修士]]&lt;&gt;"", 0, IF(登録一覧[[#This Row],[非表示]]&lt;&gt;"",1000,10000)),"-")</f>
        <v>-</v>
      </c>
      <c r="L226">
        <f t="shared" si="11"/>
        <v>247</v>
      </c>
      <c r="M226" t="str">
        <f t="shared" si="13"/>
        <v>-247</v>
      </c>
      <c r="N22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6" t="str">
        <f>IFERROR(IF(登録一覧[[#This Row],[決定]]="yes", 登録一覧[[#This Row],[希望]], "*"), "*")</f>
        <v>*</v>
      </c>
      <c r="P226">
        <f>COUNTIF($O$7:$O226,O226)</f>
        <v>220</v>
      </c>
      <c r="Q226" t="str">
        <f t="shared" si="12"/>
        <v>*220</v>
      </c>
      <c r="R226" t="str">
        <f>IFERROR(登録一覧[[#This Row],[学籍番号]],"-")</f>
        <v>-</v>
      </c>
      <c r="S226" t="str">
        <f>IFERROR(登録一覧[[#This Row],[氏名]],"-")</f>
        <v>-</v>
      </c>
    </row>
    <row r="227" spans="10:19" x14ac:dyDescent="0.4">
      <c r="J227" t="str">
        <f>IFERROR(IF(登録一覧[[#This Row],[希望]]="","-",登録一覧[[#This Row],[希望]]&amp;登録一覧[[#This Row],[学生枠]]),"-")</f>
        <v>-</v>
      </c>
      <c r="K227" t="str">
        <f>IFERROR(ROW()+IF(登録一覧[[#This Row],[修士]]&lt;&gt;"", 0, IF(登録一覧[[#This Row],[非表示]]&lt;&gt;"",1000,10000)),"-")</f>
        <v>-</v>
      </c>
      <c r="L227">
        <f t="shared" si="11"/>
        <v>247</v>
      </c>
      <c r="M227" t="str">
        <f t="shared" si="13"/>
        <v>-247</v>
      </c>
      <c r="N22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7" t="str">
        <f>IFERROR(IF(登録一覧[[#This Row],[決定]]="yes", 登録一覧[[#This Row],[希望]], "*"), "*")</f>
        <v>*</v>
      </c>
      <c r="P227">
        <f>COUNTIF($O$7:$O227,O227)</f>
        <v>221</v>
      </c>
      <c r="Q227" t="str">
        <f t="shared" si="12"/>
        <v>*221</v>
      </c>
      <c r="R227" t="str">
        <f>IFERROR(登録一覧[[#This Row],[学籍番号]],"-")</f>
        <v>-</v>
      </c>
      <c r="S227" t="str">
        <f>IFERROR(登録一覧[[#This Row],[氏名]],"-")</f>
        <v>-</v>
      </c>
    </row>
    <row r="228" spans="10:19" x14ac:dyDescent="0.4">
      <c r="J228" t="str">
        <f>IFERROR(IF(登録一覧[[#This Row],[希望]]="","-",登録一覧[[#This Row],[希望]]&amp;登録一覧[[#This Row],[学生枠]]),"-")</f>
        <v>-</v>
      </c>
      <c r="K228" t="str">
        <f>IFERROR(ROW()+IF(登録一覧[[#This Row],[修士]]&lt;&gt;"", 0, IF(登録一覧[[#This Row],[非表示]]&lt;&gt;"",1000,10000)),"-")</f>
        <v>-</v>
      </c>
      <c r="L228">
        <f t="shared" si="11"/>
        <v>247</v>
      </c>
      <c r="M228" t="str">
        <f t="shared" si="13"/>
        <v>-247</v>
      </c>
      <c r="N22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8" t="str">
        <f>IFERROR(IF(登録一覧[[#This Row],[決定]]="yes", 登録一覧[[#This Row],[希望]], "*"), "*")</f>
        <v>*</v>
      </c>
      <c r="P228">
        <f>COUNTIF($O$7:$O228,O228)</f>
        <v>222</v>
      </c>
      <c r="Q228" t="str">
        <f t="shared" si="12"/>
        <v>*222</v>
      </c>
      <c r="R228" t="str">
        <f>IFERROR(登録一覧[[#This Row],[学籍番号]],"-")</f>
        <v>-</v>
      </c>
      <c r="S228" t="str">
        <f>IFERROR(登録一覧[[#This Row],[氏名]],"-")</f>
        <v>-</v>
      </c>
    </row>
    <row r="229" spans="10:19" x14ac:dyDescent="0.4">
      <c r="J229" t="str">
        <f>IFERROR(IF(登録一覧[[#This Row],[希望]]="","-",登録一覧[[#This Row],[希望]]&amp;登録一覧[[#This Row],[学生枠]]),"-")</f>
        <v>-</v>
      </c>
      <c r="K229" t="str">
        <f>IFERROR(ROW()+IF(登録一覧[[#This Row],[修士]]&lt;&gt;"", 0, IF(登録一覧[[#This Row],[非表示]]&lt;&gt;"",1000,10000)),"-")</f>
        <v>-</v>
      </c>
      <c r="L229">
        <f t="shared" si="11"/>
        <v>247</v>
      </c>
      <c r="M229" t="str">
        <f t="shared" si="13"/>
        <v>-247</v>
      </c>
      <c r="N22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9" t="str">
        <f>IFERROR(IF(登録一覧[[#This Row],[決定]]="yes", 登録一覧[[#This Row],[希望]], "*"), "*")</f>
        <v>*</v>
      </c>
      <c r="P229">
        <f>COUNTIF($O$7:$O229,O229)</f>
        <v>223</v>
      </c>
      <c r="Q229" t="str">
        <f t="shared" si="12"/>
        <v>*223</v>
      </c>
      <c r="R229" t="str">
        <f>IFERROR(登録一覧[[#This Row],[学籍番号]],"-")</f>
        <v>-</v>
      </c>
      <c r="S229" t="str">
        <f>IFERROR(登録一覧[[#This Row],[氏名]],"-")</f>
        <v>-</v>
      </c>
    </row>
    <row r="230" spans="10:19" x14ac:dyDescent="0.4">
      <c r="J230" t="str">
        <f>IFERROR(IF(登録一覧[[#This Row],[希望]]="","-",登録一覧[[#This Row],[希望]]&amp;登録一覧[[#This Row],[学生枠]]),"-")</f>
        <v>-</v>
      </c>
      <c r="K230" t="str">
        <f>IFERROR(ROW()+IF(登録一覧[[#This Row],[修士]]&lt;&gt;"", 0, IF(登録一覧[[#This Row],[非表示]]&lt;&gt;"",1000,10000)),"-")</f>
        <v>-</v>
      </c>
      <c r="L230">
        <f t="shared" si="11"/>
        <v>247</v>
      </c>
      <c r="M230" t="str">
        <f t="shared" si="13"/>
        <v>-247</v>
      </c>
      <c r="N23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0" t="str">
        <f>IFERROR(IF(登録一覧[[#This Row],[決定]]="yes", 登録一覧[[#This Row],[希望]], "*"), "*")</f>
        <v>*</v>
      </c>
      <c r="P230">
        <f>COUNTIF($O$7:$O230,O230)</f>
        <v>224</v>
      </c>
      <c r="Q230" t="str">
        <f t="shared" si="12"/>
        <v>*224</v>
      </c>
      <c r="R230" t="str">
        <f>IFERROR(登録一覧[[#This Row],[学籍番号]],"-")</f>
        <v>-</v>
      </c>
      <c r="S230" t="str">
        <f>IFERROR(登録一覧[[#This Row],[氏名]],"-")</f>
        <v>-</v>
      </c>
    </row>
    <row r="231" spans="10:19" x14ac:dyDescent="0.4">
      <c r="J231" t="str">
        <f>IFERROR(IF(登録一覧[[#This Row],[希望]]="","-",登録一覧[[#This Row],[希望]]&amp;登録一覧[[#This Row],[学生枠]]),"-")</f>
        <v>-</v>
      </c>
      <c r="K231" t="str">
        <f>IFERROR(ROW()+IF(登録一覧[[#This Row],[修士]]&lt;&gt;"", 0, IF(登録一覧[[#This Row],[非表示]]&lt;&gt;"",1000,10000)),"-")</f>
        <v>-</v>
      </c>
      <c r="L231">
        <f t="shared" si="11"/>
        <v>247</v>
      </c>
      <c r="M231" t="str">
        <f t="shared" si="13"/>
        <v>-247</v>
      </c>
      <c r="N23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1" t="str">
        <f>IFERROR(IF(登録一覧[[#This Row],[決定]]="yes", 登録一覧[[#This Row],[希望]], "*"), "*")</f>
        <v>*</v>
      </c>
      <c r="P231">
        <f>COUNTIF($O$7:$O231,O231)</f>
        <v>225</v>
      </c>
      <c r="Q231" t="str">
        <f t="shared" si="12"/>
        <v>*225</v>
      </c>
      <c r="R231" t="str">
        <f>IFERROR(登録一覧[[#This Row],[学籍番号]],"-")</f>
        <v>-</v>
      </c>
      <c r="S231" t="str">
        <f>IFERROR(登録一覧[[#This Row],[氏名]],"-")</f>
        <v>-</v>
      </c>
    </row>
    <row r="232" spans="10:19" x14ac:dyDescent="0.4">
      <c r="J232" t="str">
        <f>IFERROR(IF(登録一覧[[#This Row],[希望]]="","-",登録一覧[[#This Row],[希望]]&amp;登録一覧[[#This Row],[学生枠]]),"-")</f>
        <v>-</v>
      </c>
      <c r="K232" t="str">
        <f>IFERROR(ROW()+IF(登録一覧[[#This Row],[修士]]&lt;&gt;"", 0, IF(登録一覧[[#This Row],[非表示]]&lt;&gt;"",1000,10000)),"-")</f>
        <v>-</v>
      </c>
      <c r="L232">
        <f t="shared" si="11"/>
        <v>247</v>
      </c>
      <c r="M232" t="str">
        <f t="shared" si="13"/>
        <v>-247</v>
      </c>
      <c r="N23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2" t="str">
        <f>IFERROR(IF(登録一覧[[#This Row],[決定]]="yes", 登録一覧[[#This Row],[希望]], "*"), "*")</f>
        <v>*</v>
      </c>
      <c r="P232">
        <f>COUNTIF($O$7:$O232,O232)</f>
        <v>226</v>
      </c>
      <c r="Q232" t="str">
        <f t="shared" si="12"/>
        <v>*226</v>
      </c>
      <c r="R232" t="str">
        <f>IFERROR(登録一覧[[#This Row],[学籍番号]],"-")</f>
        <v>-</v>
      </c>
      <c r="S232" t="str">
        <f>IFERROR(登録一覧[[#This Row],[氏名]],"-")</f>
        <v>-</v>
      </c>
    </row>
    <row r="233" spans="10:19" x14ac:dyDescent="0.4">
      <c r="J233" t="str">
        <f>IFERROR(IF(登録一覧[[#This Row],[希望]]="","-",登録一覧[[#This Row],[希望]]&amp;登録一覧[[#This Row],[学生枠]]),"-")</f>
        <v>-</v>
      </c>
      <c r="K233" t="str">
        <f>IFERROR(ROW()+IF(登録一覧[[#This Row],[修士]]&lt;&gt;"", 0, IF(登録一覧[[#This Row],[非表示]]&lt;&gt;"",1000,10000)),"-")</f>
        <v>-</v>
      </c>
      <c r="L233">
        <f t="shared" si="11"/>
        <v>247</v>
      </c>
      <c r="M233" t="str">
        <f t="shared" si="13"/>
        <v>-247</v>
      </c>
      <c r="N23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3" t="str">
        <f>IFERROR(IF(登録一覧[[#This Row],[決定]]="yes", 登録一覧[[#This Row],[希望]], "*"), "*")</f>
        <v>*</v>
      </c>
      <c r="P233">
        <f>COUNTIF($O$7:$O233,O233)</f>
        <v>227</v>
      </c>
      <c r="Q233" t="str">
        <f t="shared" si="12"/>
        <v>*227</v>
      </c>
      <c r="R233" t="str">
        <f>IFERROR(登録一覧[[#This Row],[学籍番号]],"-")</f>
        <v>-</v>
      </c>
      <c r="S233" t="str">
        <f>IFERROR(登録一覧[[#This Row],[氏名]],"-")</f>
        <v>-</v>
      </c>
    </row>
    <row r="234" spans="10:19" x14ac:dyDescent="0.4">
      <c r="J234" t="str">
        <f>IFERROR(IF(登録一覧[[#This Row],[希望]]="","-",登録一覧[[#This Row],[希望]]&amp;登録一覧[[#This Row],[学生枠]]),"-")</f>
        <v>-</v>
      </c>
      <c r="K234" t="str">
        <f>IFERROR(ROW()+IF(登録一覧[[#This Row],[修士]]&lt;&gt;"", 0, IF(登録一覧[[#This Row],[非表示]]&lt;&gt;"",1000,10000)),"-")</f>
        <v>-</v>
      </c>
      <c r="L234">
        <f t="shared" si="11"/>
        <v>247</v>
      </c>
      <c r="M234" t="str">
        <f t="shared" si="13"/>
        <v>-247</v>
      </c>
      <c r="N23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4" t="str">
        <f>IFERROR(IF(登録一覧[[#This Row],[決定]]="yes", 登録一覧[[#This Row],[希望]], "*"), "*")</f>
        <v>*</v>
      </c>
      <c r="P234">
        <f>COUNTIF($O$7:$O234,O234)</f>
        <v>228</v>
      </c>
      <c r="Q234" t="str">
        <f t="shared" si="12"/>
        <v>*228</v>
      </c>
      <c r="R234" t="str">
        <f>IFERROR(登録一覧[[#This Row],[学籍番号]],"-")</f>
        <v>-</v>
      </c>
      <c r="S234" t="str">
        <f>IFERROR(登録一覧[[#This Row],[氏名]],"-")</f>
        <v>-</v>
      </c>
    </row>
    <row r="235" spans="10:19" x14ac:dyDescent="0.4">
      <c r="J235" t="str">
        <f>IFERROR(IF(登録一覧[[#This Row],[希望]]="","-",登録一覧[[#This Row],[希望]]&amp;登録一覧[[#This Row],[学生枠]]),"-")</f>
        <v>-</v>
      </c>
      <c r="K235" t="str">
        <f>IFERROR(ROW()+IF(登録一覧[[#This Row],[修士]]&lt;&gt;"", 0, IF(登録一覧[[#This Row],[非表示]]&lt;&gt;"",1000,10000)),"-")</f>
        <v>-</v>
      </c>
      <c r="L235">
        <f t="shared" si="11"/>
        <v>247</v>
      </c>
      <c r="M235" t="str">
        <f t="shared" si="13"/>
        <v>-247</v>
      </c>
      <c r="N23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5" t="str">
        <f>IFERROR(IF(登録一覧[[#This Row],[決定]]="yes", 登録一覧[[#This Row],[希望]], "*"), "*")</f>
        <v>*</v>
      </c>
      <c r="P235">
        <f>COUNTIF($O$7:$O235,O235)</f>
        <v>229</v>
      </c>
      <c r="Q235" t="str">
        <f t="shared" si="12"/>
        <v>*229</v>
      </c>
      <c r="R235" t="str">
        <f>IFERROR(登録一覧[[#This Row],[学籍番号]],"-")</f>
        <v>-</v>
      </c>
      <c r="S235" t="str">
        <f>IFERROR(登録一覧[[#This Row],[氏名]],"-")</f>
        <v>-</v>
      </c>
    </row>
    <row r="236" spans="10:19" x14ac:dyDescent="0.4">
      <c r="J236" t="str">
        <f>IFERROR(IF(登録一覧[[#This Row],[希望]]="","-",登録一覧[[#This Row],[希望]]&amp;登録一覧[[#This Row],[学生枠]]),"-")</f>
        <v>-</v>
      </c>
      <c r="K236" t="str">
        <f>IFERROR(ROW()+IF(登録一覧[[#This Row],[修士]]&lt;&gt;"", 0, IF(登録一覧[[#This Row],[非表示]]&lt;&gt;"",1000,10000)),"-")</f>
        <v>-</v>
      </c>
      <c r="L236">
        <f t="shared" si="11"/>
        <v>247</v>
      </c>
      <c r="M236" t="str">
        <f t="shared" si="13"/>
        <v>-247</v>
      </c>
      <c r="N23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6" t="str">
        <f>IFERROR(IF(登録一覧[[#This Row],[決定]]="yes", 登録一覧[[#This Row],[希望]], "*"), "*")</f>
        <v>*</v>
      </c>
      <c r="P236">
        <f>COUNTIF($O$7:$O236,O236)</f>
        <v>230</v>
      </c>
      <c r="Q236" t="str">
        <f t="shared" si="12"/>
        <v>*230</v>
      </c>
      <c r="R236" t="str">
        <f>IFERROR(登録一覧[[#This Row],[学籍番号]],"-")</f>
        <v>-</v>
      </c>
      <c r="S236" t="str">
        <f>IFERROR(登録一覧[[#This Row],[氏名]],"-")</f>
        <v>-</v>
      </c>
    </row>
    <row r="237" spans="10:19" x14ac:dyDescent="0.4">
      <c r="J237" t="str">
        <f>IFERROR(IF(登録一覧[[#This Row],[希望]]="","-",登録一覧[[#This Row],[希望]]&amp;登録一覧[[#This Row],[学生枠]]),"-")</f>
        <v>-</v>
      </c>
      <c r="K237" t="str">
        <f>IFERROR(ROW()+IF(登録一覧[[#This Row],[修士]]&lt;&gt;"", 0, IF(登録一覧[[#This Row],[非表示]]&lt;&gt;"",1000,10000)),"-")</f>
        <v>-</v>
      </c>
      <c r="L237">
        <f t="shared" si="11"/>
        <v>247</v>
      </c>
      <c r="M237" t="str">
        <f t="shared" si="13"/>
        <v>-247</v>
      </c>
      <c r="N23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7" t="str">
        <f>IFERROR(IF(登録一覧[[#This Row],[決定]]="yes", 登録一覧[[#This Row],[希望]], "*"), "*")</f>
        <v>*</v>
      </c>
      <c r="P237">
        <f>COUNTIF($O$7:$O237,O237)</f>
        <v>231</v>
      </c>
      <c r="Q237" t="str">
        <f t="shared" si="12"/>
        <v>*231</v>
      </c>
      <c r="R237" t="str">
        <f>IFERROR(登録一覧[[#This Row],[学籍番号]],"-")</f>
        <v>-</v>
      </c>
      <c r="S237" t="str">
        <f>IFERROR(登録一覧[[#This Row],[氏名]],"-")</f>
        <v>-</v>
      </c>
    </row>
    <row r="238" spans="10:19" x14ac:dyDescent="0.4">
      <c r="J238" t="str">
        <f>IFERROR(IF(登録一覧[[#This Row],[希望]]="","-",登録一覧[[#This Row],[希望]]&amp;登録一覧[[#This Row],[学生枠]]),"-")</f>
        <v>-</v>
      </c>
      <c r="K238" t="str">
        <f>IFERROR(ROW()+IF(登録一覧[[#This Row],[修士]]&lt;&gt;"", 0, IF(登録一覧[[#This Row],[非表示]]&lt;&gt;"",1000,10000)),"-")</f>
        <v>-</v>
      </c>
      <c r="L238">
        <f t="shared" si="11"/>
        <v>247</v>
      </c>
      <c r="M238" t="str">
        <f t="shared" si="13"/>
        <v>-247</v>
      </c>
      <c r="N23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8" t="str">
        <f>IFERROR(IF(登録一覧[[#This Row],[決定]]="yes", 登録一覧[[#This Row],[希望]], "*"), "*")</f>
        <v>*</v>
      </c>
      <c r="P238">
        <f>COUNTIF($O$7:$O238,O238)</f>
        <v>232</v>
      </c>
      <c r="Q238" t="str">
        <f t="shared" si="12"/>
        <v>*232</v>
      </c>
      <c r="R238" t="str">
        <f>IFERROR(登録一覧[[#This Row],[学籍番号]],"-")</f>
        <v>-</v>
      </c>
      <c r="S238" t="str">
        <f>IFERROR(登録一覧[[#This Row],[氏名]],"-")</f>
        <v>-</v>
      </c>
    </row>
    <row r="239" spans="10:19" x14ac:dyDescent="0.4">
      <c r="J239" t="str">
        <f>IFERROR(IF(登録一覧[[#This Row],[希望]]="","-",登録一覧[[#This Row],[希望]]&amp;登録一覧[[#This Row],[学生枠]]),"-")</f>
        <v>-</v>
      </c>
      <c r="K239" t="str">
        <f>IFERROR(ROW()+IF(登録一覧[[#This Row],[修士]]&lt;&gt;"", 0, IF(登録一覧[[#This Row],[非表示]]&lt;&gt;"",1000,10000)),"-")</f>
        <v>-</v>
      </c>
      <c r="L239">
        <f t="shared" si="11"/>
        <v>247</v>
      </c>
      <c r="M239" t="str">
        <f t="shared" si="13"/>
        <v>-247</v>
      </c>
      <c r="N23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9" t="str">
        <f>IFERROR(IF(登録一覧[[#This Row],[決定]]="yes", 登録一覧[[#This Row],[希望]], "*"), "*")</f>
        <v>*</v>
      </c>
      <c r="P239">
        <f>COUNTIF($O$7:$O239,O239)</f>
        <v>233</v>
      </c>
      <c r="Q239" t="str">
        <f t="shared" si="12"/>
        <v>*233</v>
      </c>
      <c r="R239" t="str">
        <f>IFERROR(登録一覧[[#This Row],[学籍番号]],"-")</f>
        <v>-</v>
      </c>
      <c r="S239" t="str">
        <f>IFERROR(登録一覧[[#This Row],[氏名]],"-")</f>
        <v>-</v>
      </c>
    </row>
    <row r="240" spans="10:19" x14ac:dyDescent="0.4">
      <c r="J240" t="str">
        <f>IFERROR(IF(登録一覧[[#This Row],[希望]]="","-",登録一覧[[#This Row],[希望]]&amp;登録一覧[[#This Row],[学生枠]]),"-")</f>
        <v>-</v>
      </c>
      <c r="K240" t="str">
        <f>IFERROR(ROW()+IF(登録一覧[[#This Row],[修士]]&lt;&gt;"", 0, IF(登録一覧[[#This Row],[非表示]]&lt;&gt;"",1000,10000)),"-")</f>
        <v>-</v>
      </c>
      <c r="L240">
        <f t="shared" si="11"/>
        <v>247</v>
      </c>
      <c r="M240" t="str">
        <f t="shared" si="13"/>
        <v>-247</v>
      </c>
      <c r="N24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0" t="str">
        <f>IFERROR(IF(登録一覧[[#This Row],[決定]]="yes", 登録一覧[[#This Row],[希望]], "*"), "*")</f>
        <v>*</v>
      </c>
      <c r="P240">
        <f>COUNTIF($O$7:$O240,O240)</f>
        <v>234</v>
      </c>
      <c r="Q240" t="str">
        <f t="shared" si="12"/>
        <v>*234</v>
      </c>
      <c r="R240" t="str">
        <f>IFERROR(登録一覧[[#This Row],[学籍番号]],"-")</f>
        <v>-</v>
      </c>
      <c r="S240" t="str">
        <f>IFERROR(登録一覧[[#This Row],[氏名]],"-")</f>
        <v>-</v>
      </c>
    </row>
    <row r="241" spans="10:19" x14ac:dyDescent="0.4">
      <c r="J241" t="str">
        <f>IFERROR(IF(登録一覧[[#This Row],[希望]]="","-",登録一覧[[#This Row],[希望]]&amp;登録一覧[[#This Row],[学生枠]]),"-")</f>
        <v>-</v>
      </c>
      <c r="K241" t="str">
        <f>IFERROR(ROW()+IF(登録一覧[[#This Row],[修士]]&lt;&gt;"", 0, IF(登録一覧[[#This Row],[非表示]]&lt;&gt;"",1000,10000)),"-")</f>
        <v>-</v>
      </c>
      <c r="L241">
        <f t="shared" si="11"/>
        <v>247</v>
      </c>
      <c r="M241" t="str">
        <f t="shared" si="13"/>
        <v>-247</v>
      </c>
      <c r="N24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1" t="str">
        <f>IFERROR(IF(登録一覧[[#This Row],[決定]]="yes", 登録一覧[[#This Row],[希望]], "*"), "*")</f>
        <v>*</v>
      </c>
      <c r="P241">
        <f>COUNTIF($O$7:$O241,O241)</f>
        <v>235</v>
      </c>
      <c r="Q241" t="str">
        <f t="shared" si="12"/>
        <v>*235</v>
      </c>
      <c r="R241" t="str">
        <f>IFERROR(登録一覧[[#This Row],[学籍番号]],"-")</f>
        <v>-</v>
      </c>
      <c r="S241" t="str">
        <f>IFERROR(登録一覧[[#This Row],[氏名]],"-")</f>
        <v>-</v>
      </c>
    </row>
    <row r="242" spans="10:19" x14ac:dyDescent="0.4">
      <c r="J242" t="str">
        <f>IFERROR(IF(登録一覧[[#This Row],[希望]]="","-",登録一覧[[#This Row],[希望]]&amp;登録一覧[[#This Row],[学生枠]]),"-")</f>
        <v>-</v>
      </c>
      <c r="K242" t="str">
        <f>IFERROR(ROW()+IF(登録一覧[[#This Row],[修士]]&lt;&gt;"", 0, IF(登録一覧[[#This Row],[非表示]]&lt;&gt;"",1000,10000)),"-")</f>
        <v>-</v>
      </c>
      <c r="L242">
        <f t="shared" si="11"/>
        <v>247</v>
      </c>
      <c r="M242" t="str">
        <f t="shared" si="13"/>
        <v>-247</v>
      </c>
      <c r="N24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2" t="str">
        <f>IFERROR(IF(登録一覧[[#This Row],[決定]]="yes", 登録一覧[[#This Row],[希望]], "*"), "*")</f>
        <v>*</v>
      </c>
      <c r="P242">
        <f>COUNTIF($O$7:$O242,O242)</f>
        <v>236</v>
      </c>
      <c r="Q242" t="str">
        <f t="shared" si="12"/>
        <v>*236</v>
      </c>
      <c r="R242" t="str">
        <f>IFERROR(登録一覧[[#This Row],[学籍番号]],"-")</f>
        <v>-</v>
      </c>
      <c r="S242" t="str">
        <f>IFERROR(登録一覧[[#This Row],[氏名]],"-")</f>
        <v>-</v>
      </c>
    </row>
    <row r="243" spans="10:19" x14ac:dyDescent="0.4">
      <c r="J243" t="str">
        <f>IFERROR(IF(登録一覧[[#This Row],[希望]]="","-",登録一覧[[#This Row],[希望]]&amp;登録一覧[[#This Row],[学生枠]]),"-")</f>
        <v>-</v>
      </c>
      <c r="K243" t="str">
        <f>IFERROR(ROW()+IF(登録一覧[[#This Row],[修士]]&lt;&gt;"", 0, IF(登録一覧[[#This Row],[非表示]]&lt;&gt;"",1000,10000)),"-")</f>
        <v>-</v>
      </c>
      <c r="L243">
        <f t="shared" si="11"/>
        <v>247</v>
      </c>
      <c r="M243" t="str">
        <f t="shared" si="13"/>
        <v>-247</v>
      </c>
      <c r="N24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3" t="str">
        <f>IFERROR(IF(登録一覧[[#This Row],[決定]]="yes", 登録一覧[[#This Row],[希望]], "*"), "*")</f>
        <v>*</v>
      </c>
      <c r="P243">
        <f>COUNTIF($O$7:$O243,O243)</f>
        <v>237</v>
      </c>
      <c r="Q243" t="str">
        <f t="shared" si="12"/>
        <v>*237</v>
      </c>
      <c r="R243" t="str">
        <f>IFERROR(登録一覧[[#This Row],[学籍番号]],"-")</f>
        <v>-</v>
      </c>
      <c r="S243" t="str">
        <f>IFERROR(登録一覧[[#This Row],[氏名]],"-")</f>
        <v>-</v>
      </c>
    </row>
    <row r="244" spans="10:19" x14ac:dyDescent="0.4">
      <c r="J244" t="str">
        <f>IFERROR(IF(登録一覧[[#This Row],[希望]]="","-",登録一覧[[#This Row],[希望]]&amp;登録一覧[[#This Row],[学生枠]]),"-")</f>
        <v>-</v>
      </c>
      <c r="K244" t="str">
        <f>IFERROR(ROW()+IF(登録一覧[[#This Row],[修士]]&lt;&gt;"", 0, IF(登録一覧[[#This Row],[非表示]]&lt;&gt;"",1000,10000)),"-")</f>
        <v>-</v>
      </c>
      <c r="L244">
        <f t="shared" si="11"/>
        <v>247</v>
      </c>
      <c r="M244" t="str">
        <f t="shared" si="13"/>
        <v>-247</v>
      </c>
      <c r="N24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4" t="str">
        <f>IFERROR(IF(登録一覧[[#This Row],[決定]]="yes", 登録一覧[[#This Row],[希望]], "*"), "*")</f>
        <v>*</v>
      </c>
      <c r="P244">
        <f>COUNTIF($O$7:$O244,O244)</f>
        <v>238</v>
      </c>
      <c r="Q244" t="str">
        <f t="shared" si="12"/>
        <v>*238</v>
      </c>
      <c r="R244" t="str">
        <f>IFERROR(登録一覧[[#This Row],[学籍番号]],"-")</f>
        <v>-</v>
      </c>
      <c r="S244" t="str">
        <f>IFERROR(登録一覧[[#This Row],[氏名]],"-")</f>
        <v>-</v>
      </c>
    </row>
    <row r="245" spans="10:19" x14ac:dyDescent="0.4">
      <c r="J245" t="str">
        <f>IFERROR(IF(登録一覧[[#This Row],[希望]]="","-",登録一覧[[#This Row],[希望]]&amp;登録一覧[[#This Row],[学生枠]]),"-")</f>
        <v>-</v>
      </c>
      <c r="K245" t="str">
        <f>IFERROR(ROW()+IF(登録一覧[[#This Row],[修士]]&lt;&gt;"", 0, IF(登録一覧[[#This Row],[非表示]]&lt;&gt;"",1000,10000)),"-")</f>
        <v>-</v>
      </c>
      <c r="L245">
        <f t="shared" si="11"/>
        <v>247</v>
      </c>
      <c r="M245" t="str">
        <f t="shared" si="13"/>
        <v>-247</v>
      </c>
      <c r="N24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5" t="str">
        <f>IFERROR(IF(登録一覧[[#This Row],[決定]]="yes", 登録一覧[[#This Row],[希望]], "*"), "*")</f>
        <v>*</v>
      </c>
      <c r="P245">
        <f>COUNTIF($O$7:$O245,O245)</f>
        <v>239</v>
      </c>
      <c r="Q245" t="str">
        <f t="shared" si="12"/>
        <v>*239</v>
      </c>
      <c r="R245" t="str">
        <f>IFERROR(登録一覧[[#This Row],[学籍番号]],"-")</f>
        <v>-</v>
      </c>
      <c r="S245" t="str">
        <f>IFERROR(登録一覧[[#This Row],[氏名]],"-")</f>
        <v>-</v>
      </c>
    </row>
    <row r="246" spans="10:19" x14ac:dyDescent="0.4">
      <c r="J246" t="str">
        <f>IFERROR(IF(登録一覧[[#This Row],[希望]]="","-",登録一覧[[#This Row],[希望]]&amp;登録一覧[[#This Row],[学生枠]]),"-")</f>
        <v>-</v>
      </c>
      <c r="K246" t="str">
        <f>IFERROR(ROW()+IF(登録一覧[[#This Row],[修士]]&lt;&gt;"", 0, IF(登録一覧[[#This Row],[非表示]]&lt;&gt;"",1000,10000)),"-")</f>
        <v>-</v>
      </c>
      <c r="L246">
        <f t="shared" si="11"/>
        <v>247</v>
      </c>
      <c r="M246" t="str">
        <f t="shared" si="13"/>
        <v>-247</v>
      </c>
      <c r="N24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6" t="str">
        <f>IFERROR(IF(登録一覧[[#This Row],[決定]]="yes", 登録一覧[[#This Row],[希望]], "*"), "*")</f>
        <v>*</v>
      </c>
      <c r="P246">
        <f>COUNTIF($O$7:$O246,O246)</f>
        <v>240</v>
      </c>
      <c r="Q246" t="str">
        <f t="shared" si="12"/>
        <v>*240</v>
      </c>
      <c r="R246" t="str">
        <f>IFERROR(登録一覧[[#This Row],[学籍番号]],"-")</f>
        <v>-</v>
      </c>
      <c r="S246" t="str">
        <f>IFERROR(登録一覧[[#This Row],[氏名]],"-")</f>
        <v>-</v>
      </c>
    </row>
    <row r="247" spans="10:19" x14ac:dyDescent="0.4">
      <c r="J247" t="str">
        <f>IFERROR(IF(登録一覧[[#This Row],[希望]]="","-",登録一覧[[#This Row],[希望]]&amp;登録一覧[[#This Row],[学生枠]]),"-")</f>
        <v>-</v>
      </c>
      <c r="K247" t="str">
        <f>IFERROR(ROW()+IF(登録一覧[[#This Row],[修士]]&lt;&gt;"", 0, IF(登録一覧[[#This Row],[非表示]]&lt;&gt;"",1000,10000)),"-")</f>
        <v>-</v>
      </c>
      <c r="L247">
        <f t="shared" si="11"/>
        <v>247</v>
      </c>
      <c r="M247" t="str">
        <f t="shared" si="13"/>
        <v>-247</v>
      </c>
      <c r="N24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7" t="str">
        <f>IFERROR(IF(登録一覧[[#This Row],[決定]]="yes", 登録一覧[[#This Row],[希望]], "*"), "*")</f>
        <v>*</v>
      </c>
      <c r="P247">
        <f>COUNTIF($O$7:$O247,O247)</f>
        <v>241</v>
      </c>
      <c r="Q247" t="str">
        <f t="shared" si="12"/>
        <v>*241</v>
      </c>
      <c r="R247" t="str">
        <f>IFERROR(登録一覧[[#This Row],[学籍番号]],"-")</f>
        <v>-</v>
      </c>
      <c r="S247" t="str">
        <f>IFERROR(登録一覧[[#This Row],[氏名]],"-")</f>
        <v>-</v>
      </c>
    </row>
    <row r="248" spans="10:19" x14ac:dyDescent="0.4">
      <c r="J248" t="str">
        <f>IFERROR(IF(登録一覧[[#This Row],[希望]]="","-",登録一覧[[#This Row],[希望]]&amp;登録一覧[[#This Row],[学生枠]]),"-")</f>
        <v>-</v>
      </c>
      <c r="K248" t="str">
        <f>IFERROR(ROW()+IF(登録一覧[[#This Row],[修士]]&lt;&gt;"", 0, IF(登録一覧[[#This Row],[非表示]]&lt;&gt;"",1000,10000)),"-")</f>
        <v>-</v>
      </c>
      <c r="L248">
        <f t="shared" si="11"/>
        <v>247</v>
      </c>
      <c r="M248" t="str">
        <f t="shared" si="13"/>
        <v>-247</v>
      </c>
      <c r="N24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8" t="str">
        <f>IFERROR(IF(登録一覧[[#This Row],[決定]]="yes", 登録一覧[[#This Row],[希望]], "*"), "*")</f>
        <v>*</v>
      </c>
      <c r="P248">
        <f>COUNTIF($O$7:$O248,O248)</f>
        <v>242</v>
      </c>
      <c r="Q248" t="str">
        <f t="shared" si="12"/>
        <v>*242</v>
      </c>
      <c r="R248" t="str">
        <f>IFERROR(登録一覧[[#This Row],[学籍番号]],"-")</f>
        <v>-</v>
      </c>
      <c r="S248" t="str">
        <f>IFERROR(登録一覧[[#This Row],[氏名]],"-")</f>
        <v>-</v>
      </c>
    </row>
    <row r="249" spans="10:19" x14ac:dyDescent="0.4">
      <c r="J249" t="str">
        <f>IFERROR(IF(登録一覧[[#This Row],[希望]]="","-",登録一覧[[#This Row],[希望]]&amp;登録一覧[[#This Row],[学生枠]]),"-")</f>
        <v>-</v>
      </c>
      <c r="K249" t="str">
        <f>IFERROR(ROW()+IF(登録一覧[[#This Row],[修士]]&lt;&gt;"", 0, IF(登録一覧[[#This Row],[非表示]]&lt;&gt;"",1000,10000)),"-")</f>
        <v>-</v>
      </c>
      <c r="L249">
        <f t="shared" si="11"/>
        <v>247</v>
      </c>
      <c r="M249" t="str">
        <f t="shared" si="13"/>
        <v>-247</v>
      </c>
      <c r="N24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9" t="str">
        <f>IFERROR(IF(登録一覧[[#This Row],[決定]]="yes", 登録一覧[[#This Row],[希望]], "*"), "*")</f>
        <v>*</v>
      </c>
      <c r="P249">
        <f>COUNTIF($O$7:$O249,O249)</f>
        <v>243</v>
      </c>
      <c r="Q249" t="str">
        <f t="shared" si="12"/>
        <v>*243</v>
      </c>
      <c r="R249" t="str">
        <f>IFERROR(登録一覧[[#This Row],[学籍番号]],"-")</f>
        <v>-</v>
      </c>
      <c r="S249" t="str">
        <f>IFERROR(登録一覧[[#This Row],[氏名]],"-")</f>
        <v>-</v>
      </c>
    </row>
    <row r="250" spans="10:19" x14ac:dyDescent="0.4">
      <c r="J250" t="str">
        <f>IFERROR(IF(登録一覧[[#This Row],[希望]]="","-",登録一覧[[#This Row],[希望]]&amp;登録一覧[[#This Row],[学生枠]]),"-")</f>
        <v>-</v>
      </c>
      <c r="K250" t="str">
        <f>IFERROR(ROW()+IF(登録一覧[[#This Row],[修士]]&lt;&gt;"", 0, IF(登録一覧[[#This Row],[非表示]]&lt;&gt;"",1000,10000)),"-")</f>
        <v>-</v>
      </c>
      <c r="L250">
        <f t="shared" si="11"/>
        <v>247</v>
      </c>
      <c r="M250" t="str">
        <f t="shared" si="13"/>
        <v>-247</v>
      </c>
      <c r="N25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0" t="str">
        <f>IFERROR(IF(登録一覧[[#This Row],[決定]]="yes", 登録一覧[[#This Row],[希望]], "*"), "*")</f>
        <v>*</v>
      </c>
      <c r="P250">
        <f>COUNTIF($O$7:$O250,O250)</f>
        <v>244</v>
      </c>
      <c r="Q250" t="str">
        <f t="shared" si="12"/>
        <v>*244</v>
      </c>
      <c r="R250" t="str">
        <f>IFERROR(登録一覧[[#This Row],[学籍番号]],"-")</f>
        <v>-</v>
      </c>
      <c r="S250" t="str">
        <f>IFERROR(登録一覧[[#This Row],[氏名]],"-")</f>
        <v>-</v>
      </c>
    </row>
    <row r="251" spans="10:19" x14ac:dyDescent="0.4">
      <c r="J251" t="str">
        <f>IFERROR(IF(登録一覧[[#This Row],[希望]]="","-",登録一覧[[#This Row],[希望]]&amp;登録一覧[[#This Row],[学生枠]]),"-")</f>
        <v>-</v>
      </c>
      <c r="K251" t="str">
        <f>IFERROR(ROW()+IF(登録一覧[[#This Row],[修士]]&lt;&gt;"", 0, IF(登録一覧[[#This Row],[非表示]]&lt;&gt;"",1000,10000)),"-")</f>
        <v>-</v>
      </c>
      <c r="L251">
        <f t="shared" si="11"/>
        <v>247</v>
      </c>
      <c r="M251" t="str">
        <f t="shared" si="13"/>
        <v>-247</v>
      </c>
      <c r="N25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1" t="str">
        <f>IFERROR(IF(登録一覧[[#This Row],[決定]]="yes", 登録一覧[[#This Row],[希望]], "*"), "*")</f>
        <v>*</v>
      </c>
      <c r="P251">
        <f>COUNTIF($O$7:$O251,O251)</f>
        <v>245</v>
      </c>
      <c r="Q251" t="str">
        <f t="shared" si="12"/>
        <v>*245</v>
      </c>
      <c r="R251" t="str">
        <f>IFERROR(登録一覧[[#This Row],[学籍番号]],"-")</f>
        <v>-</v>
      </c>
      <c r="S251" t="str">
        <f>IFERROR(登録一覧[[#This Row],[氏名]],"-")</f>
        <v>-</v>
      </c>
    </row>
    <row r="252" spans="10:19" x14ac:dyDescent="0.4">
      <c r="J252" t="str">
        <f>IFERROR(IF(登録一覧[[#This Row],[希望]]="","-",登録一覧[[#This Row],[希望]]&amp;登録一覧[[#This Row],[学生枠]]),"-")</f>
        <v>-</v>
      </c>
      <c r="K252" t="str">
        <f>IFERROR(ROW()+IF(登録一覧[[#This Row],[修士]]&lt;&gt;"", 0, IF(登録一覧[[#This Row],[非表示]]&lt;&gt;"",1000,10000)),"-")</f>
        <v>-</v>
      </c>
      <c r="L252">
        <f t="shared" si="11"/>
        <v>247</v>
      </c>
      <c r="M252" t="str">
        <f t="shared" si="13"/>
        <v>-247</v>
      </c>
      <c r="N25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2" t="str">
        <f>IFERROR(IF(登録一覧[[#This Row],[決定]]="yes", 登録一覧[[#This Row],[希望]], "*"), "*")</f>
        <v>*</v>
      </c>
      <c r="P252">
        <f>COUNTIF($O$7:$O252,O252)</f>
        <v>246</v>
      </c>
      <c r="Q252" t="str">
        <f t="shared" si="12"/>
        <v>*246</v>
      </c>
      <c r="R252" t="str">
        <f>IFERROR(登録一覧[[#This Row],[学籍番号]],"-")</f>
        <v>-</v>
      </c>
      <c r="S252" t="str">
        <f>IFERROR(登録一覧[[#This Row],[氏名]],"-")</f>
        <v>-</v>
      </c>
    </row>
    <row r="253" spans="10:19" x14ac:dyDescent="0.4">
      <c r="J253" t="str">
        <f>IFERROR(IF(登録一覧[[#This Row],[希望]]="","-",登録一覧[[#This Row],[希望]]&amp;登録一覧[[#This Row],[学生枠]]),"-")</f>
        <v>-</v>
      </c>
      <c r="K253" t="str">
        <f>IFERROR(ROW()+IF(登録一覧[[#This Row],[修士]]&lt;&gt;"", 0, IF(登録一覧[[#This Row],[非表示]]&lt;&gt;"",1000,10000)),"-")</f>
        <v>-</v>
      </c>
      <c r="L253">
        <f t="shared" si="11"/>
        <v>247</v>
      </c>
      <c r="M253" t="str">
        <f t="shared" si="13"/>
        <v>-247</v>
      </c>
      <c r="N25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3" t="str">
        <f>IFERROR(IF(登録一覧[[#This Row],[決定]]="yes", 登録一覧[[#This Row],[希望]], "*"), "*")</f>
        <v>*</v>
      </c>
      <c r="P253">
        <f>COUNTIF($O$7:$O253,O253)</f>
        <v>247</v>
      </c>
      <c r="Q253" t="str">
        <f t="shared" si="12"/>
        <v>*247</v>
      </c>
      <c r="R253" t="str">
        <f>IFERROR(登録一覧[[#This Row],[学籍番号]],"-")</f>
        <v>-</v>
      </c>
      <c r="S253" t="str">
        <f>IFERROR(登録一覧[[#This Row],[氏名]],"-")</f>
        <v>-</v>
      </c>
    </row>
    <row r="254" spans="10:19" x14ac:dyDescent="0.4">
      <c r="J254" t="str">
        <f>IFERROR(IF(登録一覧[[#This Row],[希望]]="","-",登録一覧[[#This Row],[希望]]&amp;登録一覧[[#This Row],[学生枠]]),"-")</f>
        <v>-</v>
      </c>
      <c r="K254" t="str">
        <f>IFERROR(ROW()+IF(登録一覧[[#This Row],[修士]]&lt;&gt;"", 0, IF(登録一覧[[#This Row],[非表示]]&lt;&gt;"",1000,10000)),"-")</f>
        <v>-</v>
      </c>
      <c r="L254">
        <f t="shared" si="11"/>
        <v>247</v>
      </c>
      <c r="M254" t="str">
        <f t="shared" si="13"/>
        <v>-247</v>
      </c>
      <c r="N25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4" t="str">
        <f>IFERROR(IF(登録一覧[[#This Row],[決定]]="yes", 登録一覧[[#This Row],[希望]], "*"), "*")</f>
        <v>*</v>
      </c>
      <c r="P254">
        <f>COUNTIF($O$7:$O254,O254)</f>
        <v>248</v>
      </c>
      <c r="Q254" t="str">
        <f t="shared" si="12"/>
        <v>*248</v>
      </c>
      <c r="R254" t="str">
        <f>IFERROR(登録一覧[[#This Row],[学籍番号]],"-")</f>
        <v>-</v>
      </c>
      <c r="S254" t="str">
        <f>IFERROR(登録一覧[[#This Row],[氏名]],"-")</f>
        <v>-</v>
      </c>
    </row>
    <row r="255" spans="10:19" x14ac:dyDescent="0.4">
      <c r="J255" t="str">
        <f>IFERROR(IF(登録一覧[[#This Row],[希望]]="","-",登録一覧[[#This Row],[希望]]&amp;登録一覧[[#This Row],[学生枠]]),"-")</f>
        <v>-</v>
      </c>
      <c r="K255" t="str">
        <f>IFERROR(ROW()+IF(登録一覧[[#This Row],[修士]]&lt;&gt;"", 0, IF(登録一覧[[#This Row],[非表示]]&lt;&gt;"",1000,10000)),"-")</f>
        <v>-</v>
      </c>
      <c r="L255">
        <f t="shared" si="11"/>
        <v>247</v>
      </c>
      <c r="M255" t="str">
        <f t="shared" si="13"/>
        <v>-247</v>
      </c>
      <c r="N25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5" t="str">
        <f>IFERROR(IF(登録一覧[[#This Row],[決定]]="yes", 登録一覧[[#This Row],[希望]], "*"), "*")</f>
        <v>*</v>
      </c>
      <c r="P255">
        <f>COUNTIF($O$7:$O255,O255)</f>
        <v>249</v>
      </c>
      <c r="Q255" t="str">
        <f t="shared" si="12"/>
        <v>*249</v>
      </c>
      <c r="R255" t="str">
        <f>IFERROR(登録一覧[[#This Row],[学籍番号]],"-")</f>
        <v>-</v>
      </c>
      <c r="S255" t="str">
        <f>IFERROR(登録一覧[[#This Row],[氏名]],"-")</f>
        <v>-</v>
      </c>
    </row>
    <row r="256" spans="10:19" x14ac:dyDescent="0.4">
      <c r="J256" t="str">
        <f>IFERROR(IF(登録一覧[[#This Row],[希望]]="","-",登録一覧[[#This Row],[希望]]&amp;登録一覧[[#This Row],[学生枠]]),"-")</f>
        <v>-</v>
      </c>
      <c r="K256" t="str">
        <f>IFERROR(ROW()+IF(登録一覧[[#This Row],[修士]]&lt;&gt;"", 0, IF(登録一覧[[#This Row],[非表示]]&lt;&gt;"",1000,10000)),"-")</f>
        <v>-</v>
      </c>
      <c r="L256">
        <f t="shared" si="11"/>
        <v>247</v>
      </c>
      <c r="M256" t="str">
        <f t="shared" si="13"/>
        <v>-247</v>
      </c>
      <c r="N25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6" t="str">
        <f>IFERROR(IF(登録一覧[[#This Row],[決定]]="yes", 登録一覧[[#This Row],[希望]], "*"), "*")</f>
        <v>*</v>
      </c>
      <c r="P256">
        <f>COUNTIF($O$7:$O256,O256)</f>
        <v>250</v>
      </c>
      <c r="Q256" t="str">
        <f t="shared" si="12"/>
        <v>*250</v>
      </c>
      <c r="R256" t="str">
        <f>IFERROR(登録一覧[[#This Row],[学籍番号]],"-")</f>
        <v>-</v>
      </c>
      <c r="S256" t="str">
        <f>IFERROR(登録一覧[[#This Row],[氏名]],"-")</f>
        <v>-</v>
      </c>
    </row>
  </sheetData>
  <phoneticPr fontId="2"/>
  <conditionalFormatting sqref="E7:E9">
    <cfRule type="containsText" dxfId="7" priority="1" operator="containsText" text="no">
      <formula>NOT(ISERROR(SEARCH("no",E7)))</formula>
    </cfRule>
    <cfRule type="containsText" dxfId="6" priority="2" operator="containsText" text="yes">
      <formula>NOT(ISERROR(SEARCH("yes",E7)))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4670D-D70D-4519-9F87-CBC8AD616DC5}">
  <sheetPr codeName="Sheet4"/>
  <dimension ref="B1:M13"/>
  <sheetViews>
    <sheetView workbookViewId="0">
      <selection activeCell="C7" sqref="C7"/>
    </sheetView>
  </sheetViews>
  <sheetFormatPr defaultRowHeight="18.75" x14ac:dyDescent="0.4"/>
  <cols>
    <col min="1" max="1" width="2.625" customWidth="1"/>
    <col min="2" max="2" width="7.25" bestFit="1" customWidth="1"/>
    <col min="3" max="3" width="13" bestFit="1" customWidth="1"/>
    <col min="4" max="4" width="15.625" customWidth="1"/>
    <col min="5" max="5" width="10.25" customWidth="1"/>
    <col min="9" max="9" width="5.625" customWidth="1"/>
    <col min="10" max="10" width="9.625" bestFit="1" customWidth="1"/>
    <col min="11" max="11" width="6.625" customWidth="1"/>
    <col min="12" max="12" width="3.625" customWidth="1"/>
    <col min="13" max="13" width="6.625" customWidth="1"/>
  </cols>
  <sheetData>
    <row r="1" spans="2:13" ht="10.5" customHeight="1" x14ac:dyDescent="0.4"/>
    <row r="2" spans="2:13" ht="18.75" customHeight="1" x14ac:dyDescent="0.4">
      <c r="F2" s="35"/>
    </row>
    <row r="3" spans="2:13" ht="10.5" customHeight="1" x14ac:dyDescent="0.4"/>
    <row r="4" spans="2:13" x14ac:dyDescent="0.4">
      <c r="C4" t="s">
        <v>37</v>
      </c>
      <c r="D4" s="34"/>
    </row>
    <row r="5" spans="2:13" ht="10.5" customHeight="1" x14ac:dyDescent="0.4"/>
    <row r="6" spans="2:13" x14ac:dyDescent="0.4">
      <c r="B6" t="s">
        <v>44</v>
      </c>
      <c r="C6" t="s">
        <v>38</v>
      </c>
      <c r="D6" t="s">
        <v>39</v>
      </c>
      <c r="E6" t="s">
        <v>43</v>
      </c>
      <c r="F6" t="s">
        <v>40</v>
      </c>
      <c r="G6" t="s">
        <v>41</v>
      </c>
      <c r="H6" t="s">
        <v>42</v>
      </c>
      <c r="J6" t="s">
        <v>45</v>
      </c>
      <c r="K6" s="31">
        <v>0</v>
      </c>
      <c r="L6" s="29" t="s">
        <v>48</v>
      </c>
      <c r="M6" s="30"/>
    </row>
    <row r="7" spans="2:13" x14ac:dyDescent="0.4">
      <c r="B7" s="28"/>
      <c r="C7" t="s">
        <v>65</v>
      </c>
      <c r="D7" t="s">
        <v>63</v>
      </c>
      <c r="E7" t="s">
        <v>76</v>
      </c>
      <c r="F7">
        <v>1</v>
      </c>
      <c r="G7" s="33">
        <v>3</v>
      </c>
      <c r="H7" t="s">
        <v>77</v>
      </c>
      <c r="J7" t="s">
        <v>47</v>
      </c>
      <c r="K7" s="31">
        <v>0</v>
      </c>
      <c r="L7" s="29" t="s">
        <v>48</v>
      </c>
      <c r="M7" s="30">
        <v>2</v>
      </c>
    </row>
    <row r="8" spans="2:13" x14ac:dyDescent="0.4">
      <c r="J8" t="s">
        <v>46</v>
      </c>
      <c r="K8" s="31">
        <v>0</v>
      </c>
      <c r="L8" s="29" t="s">
        <v>48</v>
      </c>
      <c r="M8" s="32">
        <v>2</v>
      </c>
    </row>
    <row r="10" spans="2:13" x14ac:dyDescent="0.4">
      <c r="J10" t="s">
        <v>49</v>
      </c>
      <c r="K10" t="s">
        <v>50</v>
      </c>
    </row>
    <row r="11" spans="2:13" x14ac:dyDescent="0.4">
      <c r="J11" t="s">
        <v>54</v>
      </c>
    </row>
    <row r="12" spans="2:13" x14ac:dyDescent="0.4">
      <c r="J12" t="s">
        <v>56</v>
      </c>
    </row>
    <row r="13" spans="2:13" x14ac:dyDescent="0.4">
      <c r="J13" t="s">
        <v>58</v>
      </c>
    </row>
  </sheetData>
  <phoneticPr fontId="2"/>
  <conditionalFormatting sqref="K6:K8">
    <cfRule type="expression" dxfId="4" priority="3">
      <formula>K6&gt;M6</formula>
    </cfRule>
  </conditionalFormatting>
  <conditionalFormatting sqref="B7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9" r:id="rId4" name="Button 195">
              <controlPr defaultSize="0" print="0" autoFill="0" autoPict="0" macro="[0]!CreateLabList">
                <anchor moveWithCells="1" sizeWithCells="1">
                  <from>
                    <xdr:col>1</xdr:col>
                    <xdr:colOff>542925</xdr:colOff>
                    <xdr:row>0</xdr:row>
                    <xdr:rowOff>114300</xdr:rowOff>
                  </from>
                  <to>
                    <xdr:col>3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5" name="研究室選択">
              <controlPr defaultSize="0" autoLine="0" autoPict="0" macro="[0]!UpdateTable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1181100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6" name="Button 297">
              <controlPr defaultSize="0" print="0" autoFill="0" autoPict="0" macro="[0]!ReflectSelection">
                <anchor moveWithCells="1" sizeWithCells="1">
                  <from>
                    <xdr:col>4</xdr:col>
                    <xdr:colOff>762000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7" name="Button 400">
              <controlPr defaultSize="0" print="0" autoFill="0" autoPict="0" macro="[0]!GoToNextRound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495300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8" name="Check Box 403">
              <controlPr defaultSize="0" autoFill="0" autoLine="0" autoPict="0" macro="[0]!UpdateCount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一覧表示用</vt:lpstr>
      <vt:lpstr>一覧決定用</vt:lpstr>
      <vt:lpstr>研究室</vt:lpstr>
      <vt:lpstr>回答</vt:lpstr>
      <vt:lpstr>調整用マクロ</vt:lpstr>
      <vt:lpstr>B配属</vt:lpstr>
      <vt:lpstr>B枠数</vt:lpstr>
      <vt:lpstr>MA配属</vt:lpstr>
      <vt:lpstr>MA枠数</vt:lpstr>
      <vt:lpstr>M配属</vt:lpstr>
      <vt:lpstr>M枠数</vt:lpstr>
      <vt:lpstr>研究室名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Fujieda</dc:creator>
  <cp:keywords/>
  <dc:description/>
  <cp:lastModifiedBy>Fujieda</cp:lastModifiedBy>
  <cp:revision/>
  <dcterms:created xsi:type="dcterms:W3CDTF">2022-10-06T03:34:14Z</dcterms:created>
  <dcterms:modified xsi:type="dcterms:W3CDTF">2023-10-12T09:32:41Z</dcterms:modified>
  <cp:category/>
  <cp:contentStatus/>
</cp:coreProperties>
</file>